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ranfield-my.sharepoint.com/personal/andrews_kwakye_cranfield_ac_uk/Documents/"/>
    </mc:Choice>
  </mc:AlternateContent>
  <xr:revisionPtr revIDLastSave="326" documentId="8_{E586AC2C-623F-4E64-9CD9-DB85A9D96993}" xr6:coauthVersionLast="47" xr6:coauthVersionMax="47" xr10:uidLastSave="{4959305E-D338-4745-9E83-4DA4A04DFF30}"/>
  <bookViews>
    <workbookView xWindow="-110" yWindow="-110" windowWidth="19420" windowHeight="10300" tabRatio="500" firstSheet="2" activeTab="5" xr2:uid="{00000000-000D-0000-FFFF-FFFF00000000}"/>
  </bookViews>
  <sheets>
    <sheet name="README" sheetId="1" r:id="rId1"/>
    <sheet name="Facilities" sheetId="2" r:id="rId2"/>
    <sheet name="Clients" sheetId="3" r:id="rId3"/>
    <sheet name="Support Plans" sheetId="4" r:id="rId4"/>
    <sheet name="DoLS" sheetId="5" r:id="rId5"/>
    <sheet name="Expenses" sheetId="6" r:id="rId6"/>
    <sheet name="Summary" sheetId="7" r:id="rId7"/>
  </sheets>
  <definedNames>
    <definedName name="_xlnm._FilterDatabase" localSheetId="4" hidden="1">DoLS!$A$3:$M$3</definedName>
    <definedName name="_xlnm._FilterDatabase" localSheetId="5" hidden="1">Expenses!$A$3:$N$3</definedName>
    <definedName name="_xlnm._FilterDatabase" localSheetId="3" hidden="1">'Support Plans'!$A$3:$M$161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1" i="6" l="1"/>
  <c r="L10" i="6"/>
  <c r="C10" i="6"/>
  <c r="J42" i="4"/>
  <c r="I42" i="4"/>
  <c r="J41" i="4"/>
  <c r="I41" i="4"/>
  <c r="J40" i="4"/>
  <c r="I40" i="4"/>
  <c r="J39" i="4"/>
  <c r="I39" i="4"/>
  <c r="J38" i="4"/>
  <c r="I38" i="4"/>
  <c r="J37" i="4"/>
  <c r="I37" i="4"/>
  <c r="J36" i="4"/>
  <c r="I36" i="4"/>
  <c r="J35" i="4"/>
  <c r="I35" i="4"/>
  <c r="J34" i="4"/>
  <c r="I34" i="4"/>
  <c r="J33" i="4"/>
  <c r="I33" i="4"/>
  <c r="J32" i="4"/>
  <c r="I32" i="4"/>
  <c r="J31" i="4"/>
  <c r="I31" i="4"/>
  <c r="J30" i="4"/>
  <c r="I30" i="4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1" i="4"/>
  <c r="J21" i="4"/>
  <c r="I22" i="4"/>
  <c r="J22" i="4"/>
  <c r="I23" i="4"/>
  <c r="J23" i="4"/>
  <c r="I24" i="4"/>
  <c r="J24" i="4"/>
  <c r="I25" i="4"/>
  <c r="J25" i="4"/>
  <c r="I26" i="4"/>
  <c r="J26" i="4"/>
  <c r="I27" i="4"/>
  <c r="J27" i="4"/>
  <c r="I28" i="4"/>
  <c r="J28" i="4"/>
  <c r="I29" i="4"/>
  <c r="J29" i="4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5" i="3"/>
  <c r="D6" i="3"/>
  <c r="D7" i="3"/>
  <c r="D20" i="7"/>
  <c r="B20" i="7"/>
  <c r="D19" i="7"/>
  <c r="C19" i="7"/>
  <c r="C18" i="7"/>
  <c r="D5" i="7"/>
  <c r="C5" i="7"/>
  <c r="B5" i="7"/>
  <c r="E5" i="7" s="1"/>
  <c r="L499" i="6"/>
  <c r="L498" i="6"/>
  <c r="L497" i="6"/>
  <c r="L496" i="6"/>
  <c r="L495" i="6"/>
  <c r="L494" i="6"/>
  <c r="L493" i="6"/>
  <c r="L492" i="6"/>
  <c r="L491" i="6"/>
  <c r="L490" i="6"/>
  <c r="L489" i="6"/>
  <c r="L488" i="6"/>
  <c r="L487" i="6"/>
  <c r="L486" i="6"/>
  <c r="L485" i="6"/>
  <c r="L484" i="6"/>
  <c r="L483" i="6"/>
  <c r="L482" i="6"/>
  <c r="L481" i="6"/>
  <c r="L480" i="6"/>
  <c r="L479" i="6"/>
  <c r="L478" i="6"/>
  <c r="L477" i="6"/>
  <c r="L476" i="6"/>
  <c r="L475" i="6"/>
  <c r="L474" i="6"/>
  <c r="L473" i="6"/>
  <c r="L472" i="6"/>
  <c r="L471" i="6"/>
  <c r="L470" i="6"/>
  <c r="L469" i="6"/>
  <c r="L468" i="6"/>
  <c r="L467" i="6"/>
  <c r="L466" i="6"/>
  <c r="L465" i="6"/>
  <c r="L464" i="6"/>
  <c r="L463" i="6"/>
  <c r="L462" i="6"/>
  <c r="L461" i="6"/>
  <c r="L460" i="6"/>
  <c r="L459" i="6"/>
  <c r="L458" i="6"/>
  <c r="L457" i="6"/>
  <c r="L456" i="6"/>
  <c r="L455" i="6"/>
  <c r="L454" i="6"/>
  <c r="L453" i="6"/>
  <c r="L452" i="6"/>
  <c r="L451" i="6"/>
  <c r="L450" i="6"/>
  <c r="L449" i="6"/>
  <c r="L448" i="6"/>
  <c r="L447" i="6"/>
  <c r="L446" i="6"/>
  <c r="L445" i="6"/>
  <c r="L444" i="6"/>
  <c r="L443" i="6"/>
  <c r="L442" i="6"/>
  <c r="L441" i="6"/>
  <c r="L440" i="6"/>
  <c r="L439" i="6"/>
  <c r="L438" i="6"/>
  <c r="L437" i="6"/>
  <c r="L436" i="6"/>
  <c r="L435" i="6"/>
  <c r="L434" i="6"/>
  <c r="L433" i="6"/>
  <c r="L432" i="6"/>
  <c r="L431" i="6"/>
  <c r="L430" i="6"/>
  <c r="L429" i="6"/>
  <c r="L428" i="6"/>
  <c r="L427" i="6"/>
  <c r="L426" i="6"/>
  <c r="L425" i="6"/>
  <c r="L424" i="6"/>
  <c r="L423" i="6"/>
  <c r="L422" i="6"/>
  <c r="L421" i="6"/>
  <c r="L420" i="6"/>
  <c r="L419" i="6"/>
  <c r="L418" i="6"/>
  <c r="L417" i="6"/>
  <c r="L416" i="6"/>
  <c r="L415" i="6"/>
  <c r="L414" i="6"/>
  <c r="L413" i="6"/>
  <c r="L412" i="6"/>
  <c r="L411" i="6"/>
  <c r="L410" i="6"/>
  <c r="L409" i="6"/>
  <c r="L408" i="6"/>
  <c r="L407" i="6"/>
  <c r="L406" i="6"/>
  <c r="L405" i="6"/>
  <c r="L404" i="6"/>
  <c r="L403" i="6"/>
  <c r="L402" i="6"/>
  <c r="L401" i="6"/>
  <c r="L400" i="6"/>
  <c r="L399" i="6"/>
  <c r="L398" i="6"/>
  <c r="L397" i="6"/>
  <c r="L396" i="6"/>
  <c r="L395" i="6"/>
  <c r="L394" i="6"/>
  <c r="L393" i="6"/>
  <c r="L392" i="6"/>
  <c r="L391" i="6"/>
  <c r="L390" i="6"/>
  <c r="L389" i="6"/>
  <c r="L388" i="6"/>
  <c r="L387" i="6"/>
  <c r="L386" i="6"/>
  <c r="L385" i="6"/>
  <c r="L384" i="6"/>
  <c r="L383" i="6"/>
  <c r="L382" i="6"/>
  <c r="L381" i="6"/>
  <c r="L380" i="6"/>
  <c r="L379" i="6"/>
  <c r="L378" i="6"/>
  <c r="L377" i="6"/>
  <c r="L376" i="6"/>
  <c r="L375" i="6"/>
  <c r="L374" i="6"/>
  <c r="L373" i="6"/>
  <c r="L372" i="6"/>
  <c r="L371" i="6"/>
  <c r="L370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57" i="6"/>
  <c r="L356" i="6"/>
  <c r="L355" i="6"/>
  <c r="L354" i="6"/>
  <c r="L353" i="6"/>
  <c r="L352" i="6"/>
  <c r="L351" i="6"/>
  <c r="L350" i="6"/>
  <c r="L349" i="6"/>
  <c r="L348" i="6"/>
  <c r="L347" i="6"/>
  <c r="L346" i="6"/>
  <c r="L345" i="6"/>
  <c r="L344" i="6"/>
  <c r="L343" i="6"/>
  <c r="L342" i="6"/>
  <c r="L341" i="6"/>
  <c r="L340" i="6"/>
  <c r="L339" i="6"/>
  <c r="L338" i="6"/>
  <c r="L337" i="6"/>
  <c r="L336" i="6"/>
  <c r="L335" i="6"/>
  <c r="L334" i="6"/>
  <c r="L333" i="6"/>
  <c r="L332" i="6"/>
  <c r="L331" i="6"/>
  <c r="L330" i="6"/>
  <c r="L329" i="6"/>
  <c r="L328" i="6"/>
  <c r="L327" i="6"/>
  <c r="L326" i="6"/>
  <c r="L325" i="6"/>
  <c r="L324" i="6"/>
  <c r="L323" i="6"/>
  <c r="L322" i="6"/>
  <c r="L321" i="6"/>
  <c r="L320" i="6"/>
  <c r="L319" i="6"/>
  <c r="L318" i="6"/>
  <c r="L317" i="6"/>
  <c r="L316" i="6"/>
  <c r="L315" i="6"/>
  <c r="L314" i="6"/>
  <c r="L313" i="6"/>
  <c r="L312" i="6"/>
  <c r="L311" i="6"/>
  <c r="L310" i="6"/>
  <c r="L309" i="6"/>
  <c r="L308" i="6"/>
  <c r="L307" i="6"/>
  <c r="L306" i="6"/>
  <c r="L305" i="6"/>
  <c r="L304" i="6"/>
  <c r="L303" i="6"/>
  <c r="L302" i="6"/>
  <c r="L301" i="6"/>
  <c r="L300" i="6"/>
  <c r="L299" i="6"/>
  <c r="L298" i="6"/>
  <c r="L297" i="6"/>
  <c r="L296" i="6"/>
  <c r="L295" i="6"/>
  <c r="L294" i="6"/>
  <c r="L293" i="6"/>
  <c r="L292" i="6"/>
  <c r="L291" i="6"/>
  <c r="L290" i="6"/>
  <c r="L289" i="6"/>
  <c r="L288" i="6"/>
  <c r="L287" i="6"/>
  <c r="L286" i="6"/>
  <c r="L285" i="6"/>
  <c r="L284" i="6"/>
  <c r="L283" i="6"/>
  <c r="L282" i="6"/>
  <c r="L281" i="6"/>
  <c r="L280" i="6"/>
  <c r="L279" i="6"/>
  <c r="L278" i="6"/>
  <c r="L277" i="6"/>
  <c r="L276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38" i="6"/>
  <c r="L237" i="6"/>
  <c r="L236" i="6"/>
  <c r="L235" i="6"/>
  <c r="L234" i="6"/>
  <c r="L233" i="6"/>
  <c r="L232" i="6"/>
  <c r="L231" i="6"/>
  <c r="L230" i="6"/>
  <c r="L229" i="6"/>
  <c r="L228" i="6"/>
  <c r="L227" i="6"/>
  <c r="L226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1" i="6"/>
  <c r="L180" i="6"/>
  <c r="L179" i="6"/>
  <c r="L178" i="6"/>
  <c r="L177" i="6"/>
  <c r="L176" i="6"/>
  <c r="L175" i="6"/>
  <c r="L174" i="6"/>
  <c r="L173" i="6"/>
  <c r="L172" i="6"/>
  <c r="L171" i="6"/>
  <c r="L170" i="6"/>
  <c r="L169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4" i="6"/>
  <c r="L143" i="6"/>
  <c r="L142" i="6"/>
  <c r="L141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3" i="6"/>
  <c r="L112" i="6"/>
  <c r="L111" i="6"/>
  <c r="L110" i="6"/>
  <c r="L109" i="6"/>
  <c r="L108" i="6"/>
  <c r="L107" i="6"/>
  <c r="L106" i="6"/>
  <c r="L105" i="6"/>
  <c r="L104" i="6"/>
  <c r="L103" i="6"/>
  <c r="L102" i="6"/>
  <c r="L101" i="6"/>
  <c r="L100" i="6"/>
  <c r="L99" i="6"/>
  <c r="L98" i="6"/>
  <c r="L97" i="6"/>
  <c r="L96" i="6"/>
  <c r="L95" i="6"/>
  <c r="L94" i="6"/>
  <c r="L93" i="6"/>
  <c r="L92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9" i="6"/>
  <c r="C9" i="6"/>
  <c r="L8" i="6"/>
  <c r="C8" i="6"/>
  <c r="L7" i="6"/>
  <c r="D18" i="7" s="1"/>
  <c r="C7" i="6"/>
  <c r="L6" i="6"/>
  <c r="C17" i="7" s="1"/>
  <c r="C6" i="6"/>
  <c r="L5" i="6"/>
  <c r="B19" i="7" s="1"/>
  <c r="C5" i="6"/>
  <c r="L4" i="6"/>
  <c r="B18" i="7" s="1"/>
  <c r="C4" i="6"/>
  <c r="I202" i="5"/>
  <c r="H202" i="5"/>
  <c r="I201" i="5"/>
  <c r="H201" i="5"/>
  <c r="I200" i="5"/>
  <c r="H200" i="5"/>
  <c r="I199" i="5"/>
  <c r="H199" i="5"/>
  <c r="I198" i="5"/>
  <c r="H198" i="5"/>
  <c r="I197" i="5"/>
  <c r="H197" i="5"/>
  <c r="I196" i="5"/>
  <c r="H196" i="5"/>
  <c r="I195" i="5"/>
  <c r="H195" i="5"/>
  <c r="I194" i="5"/>
  <c r="H194" i="5"/>
  <c r="I193" i="5"/>
  <c r="H193" i="5"/>
  <c r="I192" i="5"/>
  <c r="H192" i="5"/>
  <c r="I191" i="5"/>
  <c r="H191" i="5"/>
  <c r="I190" i="5"/>
  <c r="H190" i="5"/>
  <c r="I189" i="5"/>
  <c r="H189" i="5"/>
  <c r="I188" i="5"/>
  <c r="H188" i="5"/>
  <c r="I187" i="5"/>
  <c r="H187" i="5"/>
  <c r="I186" i="5"/>
  <c r="H186" i="5"/>
  <c r="I185" i="5"/>
  <c r="H185" i="5"/>
  <c r="I184" i="5"/>
  <c r="H184" i="5"/>
  <c r="I183" i="5"/>
  <c r="H183" i="5"/>
  <c r="I182" i="5"/>
  <c r="H182" i="5"/>
  <c r="I181" i="5"/>
  <c r="H181" i="5"/>
  <c r="I180" i="5"/>
  <c r="H180" i="5"/>
  <c r="I179" i="5"/>
  <c r="H179" i="5"/>
  <c r="I178" i="5"/>
  <c r="H178" i="5"/>
  <c r="I177" i="5"/>
  <c r="H177" i="5"/>
  <c r="I176" i="5"/>
  <c r="H176" i="5"/>
  <c r="I175" i="5"/>
  <c r="H175" i="5"/>
  <c r="I174" i="5"/>
  <c r="H174" i="5"/>
  <c r="I173" i="5"/>
  <c r="H173" i="5"/>
  <c r="I172" i="5"/>
  <c r="H172" i="5"/>
  <c r="I171" i="5"/>
  <c r="H171" i="5"/>
  <c r="I170" i="5"/>
  <c r="H170" i="5"/>
  <c r="I169" i="5"/>
  <c r="H169" i="5"/>
  <c r="I168" i="5"/>
  <c r="H168" i="5"/>
  <c r="I167" i="5"/>
  <c r="H167" i="5"/>
  <c r="I166" i="5"/>
  <c r="H166" i="5"/>
  <c r="I165" i="5"/>
  <c r="H165" i="5"/>
  <c r="I164" i="5"/>
  <c r="H164" i="5"/>
  <c r="I163" i="5"/>
  <c r="H163" i="5"/>
  <c r="I162" i="5"/>
  <c r="H162" i="5"/>
  <c r="I161" i="5"/>
  <c r="H161" i="5"/>
  <c r="I160" i="5"/>
  <c r="H160" i="5"/>
  <c r="I159" i="5"/>
  <c r="H159" i="5"/>
  <c r="I158" i="5"/>
  <c r="H158" i="5"/>
  <c r="I157" i="5"/>
  <c r="H157" i="5"/>
  <c r="I156" i="5"/>
  <c r="H156" i="5"/>
  <c r="I155" i="5"/>
  <c r="H155" i="5"/>
  <c r="I154" i="5"/>
  <c r="H154" i="5"/>
  <c r="I153" i="5"/>
  <c r="H153" i="5"/>
  <c r="I152" i="5"/>
  <c r="H152" i="5"/>
  <c r="I151" i="5"/>
  <c r="H151" i="5"/>
  <c r="I150" i="5"/>
  <c r="H150" i="5"/>
  <c r="I149" i="5"/>
  <c r="H149" i="5"/>
  <c r="I148" i="5"/>
  <c r="H148" i="5"/>
  <c r="I147" i="5"/>
  <c r="H147" i="5"/>
  <c r="I146" i="5"/>
  <c r="H146" i="5"/>
  <c r="I145" i="5"/>
  <c r="H145" i="5"/>
  <c r="I144" i="5"/>
  <c r="H144" i="5"/>
  <c r="I143" i="5"/>
  <c r="H143" i="5"/>
  <c r="I142" i="5"/>
  <c r="H142" i="5"/>
  <c r="I141" i="5"/>
  <c r="H141" i="5"/>
  <c r="I140" i="5"/>
  <c r="H140" i="5"/>
  <c r="I139" i="5"/>
  <c r="H139" i="5"/>
  <c r="I138" i="5"/>
  <c r="H138" i="5"/>
  <c r="I137" i="5"/>
  <c r="H137" i="5"/>
  <c r="I136" i="5"/>
  <c r="H136" i="5"/>
  <c r="I135" i="5"/>
  <c r="H135" i="5"/>
  <c r="I134" i="5"/>
  <c r="H134" i="5"/>
  <c r="I133" i="5"/>
  <c r="H133" i="5"/>
  <c r="I132" i="5"/>
  <c r="H132" i="5"/>
  <c r="I131" i="5"/>
  <c r="H131" i="5"/>
  <c r="I130" i="5"/>
  <c r="H130" i="5"/>
  <c r="I129" i="5"/>
  <c r="H129" i="5"/>
  <c r="I128" i="5"/>
  <c r="H128" i="5"/>
  <c r="I127" i="5"/>
  <c r="H127" i="5"/>
  <c r="I126" i="5"/>
  <c r="H126" i="5"/>
  <c r="I125" i="5"/>
  <c r="H125" i="5"/>
  <c r="I124" i="5"/>
  <c r="H124" i="5"/>
  <c r="I123" i="5"/>
  <c r="H123" i="5"/>
  <c r="I122" i="5"/>
  <c r="H122" i="5"/>
  <c r="I121" i="5"/>
  <c r="H121" i="5"/>
  <c r="I120" i="5"/>
  <c r="H120" i="5"/>
  <c r="I119" i="5"/>
  <c r="H119" i="5"/>
  <c r="I118" i="5"/>
  <c r="H118" i="5"/>
  <c r="I117" i="5"/>
  <c r="H117" i="5"/>
  <c r="I116" i="5"/>
  <c r="H116" i="5"/>
  <c r="I115" i="5"/>
  <c r="H115" i="5"/>
  <c r="I114" i="5"/>
  <c r="H114" i="5"/>
  <c r="I113" i="5"/>
  <c r="H113" i="5"/>
  <c r="I112" i="5"/>
  <c r="H112" i="5"/>
  <c r="I111" i="5"/>
  <c r="H111" i="5"/>
  <c r="I110" i="5"/>
  <c r="H110" i="5"/>
  <c r="I109" i="5"/>
  <c r="H109" i="5"/>
  <c r="I108" i="5"/>
  <c r="H108" i="5"/>
  <c r="I107" i="5"/>
  <c r="H107" i="5"/>
  <c r="I106" i="5"/>
  <c r="H106" i="5"/>
  <c r="I105" i="5"/>
  <c r="H105" i="5"/>
  <c r="I104" i="5"/>
  <c r="H104" i="5"/>
  <c r="I103" i="5"/>
  <c r="H103" i="5"/>
  <c r="I102" i="5"/>
  <c r="H102" i="5"/>
  <c r="I101" i="5"/>
  <c r="H101" i="5"/>
  <c r="I100" i="5"/>
  <c r="H100" i="5"/>
  <c r="I99" i="5"/>
  <c r="H99" i="5"/>
  <c r="I98" i="5"/>
  <c r="H98" i="5"/>
  <c r="I97" i="5"/>
  <c r="H97" i="5"/>
  <c r="I96" i="5"/>
  <c r="H96" i="5"/>
  <c r="I95" i="5"/>
  <c r="H95" i="5"/>
  <c r="I94" i="5"/>
  <c r="H94" i="5"/>
  <c r="I93" i="5"/>
  <c r="H93" i="5"/>
  <c r="I92" i="5"/>
  <c r="H92" i="5"/>
  <c r="I91" i="5"/>
  <c r="H91" i="5"/>
  <c r="I90" i="5"/>
  <c r="H90" i="5"/>
  <c r="I89" i="5"/>
  <c r="H89" i="5"/>
  <c r="I88" i="5"/>
  <c r="H88" i="5"/>
  <c r="I87" i="5"/>
  <c r="H87" i="5"/>
  <c r="I86" i="5"/>
  <c r="H86" i="5"/>
  <c r="I85" i="5"/>
  <c r="H85" i="5"/>
  <c r="I84" i="5"/>
  <c r="H84" i="5"/>
  <c r="I83" i="5"/>
  <c r="H83" i="5"/>
  <c r="I82" i="5"/>
  <c r="H82" i="5"/>
  <c r="I81" i="5"/>
  <c r="H81" i="5"/>
  <c r="I80" i="5"/>
  <c r="H80" i="5"/>
  <c r="I79" i="5"/>
  <c r="H79" i="5"/>
  <c r="I78" i="5"/>
  <c r="H78" i="5"/>
  <c r="I77" i="5"/>
  <c r="H77" i="5"/>
  <c r="I76" i="5"/>
  <c r="H76" i="5"/>
  <c r="I75" i="5"/>
  <c r="H75" i="5"/>
  <c r="I74" i="5"/>
  <c r="H74" i="5"/>
  <c r="I73" i="5"/>
  <c r="H73" i="5"/>
  <c r="I72" i="5"/>
  <c r="H72" i="5"/>
  <c r="I71" i="5"/>
  <c r="H71" i="5"/>
  <c r="I70" i="5"/>
  <c r="H70" i="5"/>
  <c r="I69" i="5"/>
  <c r="H69" i="5"/>
  <c r="I68" i="5"/>
  <c r="H68" i="5"/>
  <c r="I67" i="5"/>
  <c r="H67" i="5"/>
  <c r="I66" i="5"/>
  <c r="H66" i="5"/>
  <c r="I65" i="5"/>
  <c r="H65" i="5"/>
  <c r="I64" i="5"/>
  <c r="H64" i="5"/>
  <c r="I63" i="5"/>
  <c r="H63" i="5"/>
  <c r="I62" i="5"/>
  <c r="H62" i="5"/>
  <c r="I61" i="5"/>
  <c r="H61" i="5"/>
  <c r="I60" i="5"/>
  <c r="H60" i="5"/>
  <c r="I59" i="5"/>
  <c r="H59" i="5"/>
  <c r="I58" i="5"/>
  <c r="H58" i="5"/>
  <c r="I57" i="5"/>
  <c r="H57" i="5"/>
  <c r="I56" i="5"/>
  <c r="H56" i="5"/>
  <c r="I55" i="5"/>
  <c r="H55" i="5"/>
  <c r="I54" i="5"/>
  <c r="H54" i="5"/>
  <c r="I53" i="5"/>
  <c r="H53" i="5"/>
  <c r="I52" i="5"/>
  <c r="H52" i="5"/>
  <c r="I51" i="5"/>
  <c r="H51" i="5"/>
  <c r="I50" i="5"/>
  <c r="H50" i="5"/>
  <c r="I49" i="5"/>
  <c r="H49" i="5"/>
  <c r="I48" i="5"/>
  <c r="H48" i="5"/>
  <c r="I47" i="5"/>
  <c r="H47" i="5"/>
  <c r="I46" i="5"/>
  <c r="H46" i="5"/>
  <c r="I45" i="5"/>
  <c r="H45" i="5"/>
  <c r="I44" i="5"/>
  <c r="H44" i="5"/>
  <c r="I43" i="5"/>
  <c r="H43" i="5"/>
  <c r="I42" i="5"/>
  <c r="H42" i="5"/>
  <c r="I41" i="5"/>
  <c r="H41" i="5"/>
  <c r="I40" i="5"/>
  <c r="H40" i="5"/>
  <c r="I39" i="5"/>
  <c r="H39" i="5"/>
  <c r="I38" i="5"/>
  <c r="H38" i="5"/>
  <c r="I37" i="5"/>
  <c r="H37" i="5"/>
  <c r="I36" i="5"/>
  <c r="H36" i="5"/>
  <c r="I35" i="5"/>
  <c r="H35" i="5"/>
  <c r="I34" i="5"/>
  <c r="H34" i="5"/>
  <c r="I33" i="5"/>
  <c r="H33" i="5"/>
  <c r="I32" i="5"/>
  <c r="H32" i="5"/>
  <c r="I31" i="5"/>
  <c r="H31" i="5"/>
  <c r="I30" i="5"/>
  <c r="H30" i="5"/>
  <c r="I29" i="5"/>
  <c r="H29" i="5"/>
  <c r="I28" i="5"/>
  <c r="H28" i="5"/>
  <c r="I27" i="5"/>
  <c r="H27" i="5"/>
  <c r="I26" i="5"/>
  <c r="H26" i="5"/>
  <c r="I25" i="5"/>
  <c r="H25" i="5"/>
  <c r="I24" i="5"/>
  <c r="H24" i="5"/>
  <c r="I23" i="5"/>
  <c r="H23" i="5"/>
  <c r="I22" i="5"/>
  <c r="H22" i="5"/>
  <c r="I21" i="5"/>
  <c r="H21" i="5"/>
  <c r="I20" i="5"/>
  <c r="H20" i="5"/>
  <c r="I19" i="5"/>
  <c r="H19" i="5"/>
  <c r="I18" i="5"/>
  <c r="H18" i="5"/>
  <c r="I17" i="5"/>
  <c r="H17" i="5"/>
  <c r="I16" i="5"/>
  <c r="H16" i="5"/>
  <c r="I15" i="5"/>
  <c r="H15" i="5"/>
  <c r="I14" i="5"/>
  <c r="H14" i="5"/>
  <c r="I13" i="5"/>
  <c r="H13" i="5"/>
  <c r="I12" i="5"/>
  <c r="H12" i="5"/>
  <c r="I11" i="5"/>
  <c r="H11" i="5"/>
  <c r="I10" i="5"/>
  <c r="H10" i="5"/>
  <c r="I9" i="5"/>
  <c r="H9" i="5"/>
  <c r="I8" i="5"/>
  <c r="H8" i="5"/>
  <c r="I7" i="5"/>
  <c r="H7" i="5"/>
  <c r="I6" i="5"/>
  <c r="H6" i="5"/>
  <c r="D14" i="7"/>
  <c r="I5" i="5"/>
  <c r="C14" i="7" s="1"/>
  <c r="H5" i="5"/>
  <c r="I4" i="5"/>
  <c r="H4" i="5"/>
  <c r="C4" i="5"/>
  <c r="J161" i="4"/>
  <c r="J160" i="4"/>
  <c r="J159" i="4"/>
  <c r="J158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J127" i="4"/>
  <c r="J126" i="4"/>
  <c r="J125" i="4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8" i="4"/>
  <c r="I8" i="4"/>
  <c r="J7" i="4"/>
  <c r="I7" i="4"/>
  <c r="J6" i="4"/>
  <c r="I6" i="4"/>
  <c r="J5" i="4"/>
  <c r="I5" i="4"/>
  <c r="J4" i="4"/>
  <c r="I4" i="4"/>
  <c r="F7" i="3"/>
  <c r="F6" i="3"/>
  <c r="F5" i="3"/>
  <c r="F4" i="3"/>
  <c r="D4" i="3"/>
  <c r="B14" i="7" l="1"/>
  <c r="E14" i="7" s="1"/>
  <c r="C8" i="7"/>
  <c r="D6" i="7"/>
  <c r="E19" i="7"/>
  <c r="C20" i="7"/>
  <c r="E20" i="7" s="1"/>
  <c r="D11" i="7"/>
  <c r="D12" i="7"/>
  <c r="D7" i="7"/>
  <c r="D8" i="7"/>
  <c r="C11" i="7"/>
  <c r="B8" i="7"/>
  <c r="C13" i="7"/>
  <c r="D13" i="7"/>
  <c r="C7" i="7"/>
  <c r="E18" i="7"/>
  <c r="B7" i="7"/>
  <c r="B11" i="7"/>
  <c r="B13" i="7"/>
  <c r="B17" i="7"/>
  <c r="E17" i="7" s="1"/>
  <c r="D17" i="7"/>
  <c r="B6" i="7"/>
  <c r="B12" i="7"/>
  <c r="C6" i="7"/>
  <c r="C12" i="7"/>
  <c r="E11" i="7" l="1"/>
  <c r="E13" i="7"/>
  <c r="E8" i="7"/>
  <c r="E7" i="7"/>
  <c r="E6" i="7"/>
  <c r="E12" i="7"/>
</calcChain>
</file>

<file path=xl/sharedStrings.xml><?xml version="1.0" encoding="utf-8"?>
<sst xmlns="http://schemas.openxmlformats.org/spreadsheetml/2006/main" count="826" uniqueCount="325">
  <si>
    <t>Care Data Services — Multi-Facility Tracker</t>
  </si>
  <si>
    <t>Purpose</t>
  </si>
  <si>
    <t>Track support plan renewals, DoLS authorisations, and facility expenses across all sites. Feed into Power BI for live dashboards.</t>
  </si>
  <si>
    <t>Sheet</t>
  </si>
  <si>
    <t>What to fill in</t>
  </si>
  <si>
    <t>Facilities</t>
  </si>
  <si>
    <t>Add one row per facility. Must be completed first — other sheets reference this list.</t>
  </si>
  <si>
    <t>Clients</t>
  </si>
  <si>
    <t>One row per client across all facilities. Enter key dates and funding details.</t>
  </si>
  <si>
    <t>Support Plans</t>
  </si>
  <si>
    <t>One row per support plan. Enter review dates — traffic lights update automatically.</t>
  </si>
  <si>
    <t>DoLS</t>
  </si>
  <si>
    <t>One row per DoLS authorisation. Enter grant and expiry dates — alerts auto-calculate.</t>
  </si>
  <si>
    <t>Expenses</t>
  </si>
  <si>
    <t>One row per expense line per facility per month.</t>
  </si>
  <si>
    <t>Summary</t>
  </si>
  <si>
    <t>Do not edit — auto-calculated from other sheets. Used by Power BI.</t>
  </si>
  <si>
    <t>Rules</t>
  </si>
  <si>
    <t>Date format</t>
  </si>
  <si>
    <t>Always enter dates as DD/MM/YYYY. The cells are pre-formatted.</t>
  </si>
  <si>
    <t>Client ID</t>
  </si>
  <si>
    <t>Use the same Client ID across all sheets to link records correctly.</t>
  </si>
  <si>
    <t>Facility ID</t>
  </si>
  <si>
    <t>Use the Facility ID from the Facilities sheet exactly as entered.</t>
  </si>
  <si>
    <t>Status fields</t>
  </si>
  <si>
    <t>Select from the dropdown lists provided — do not type free text in status columns.</t>
  </si>
  <si>
    <t>Adding rows</t>
  </si>
  <si>
    <t>Click the last row of any table and press Tab to add a new row. Do not insert rows above the table.</t>
  </si>
  <si>
    <t>Power BI</t>
  </si>
  <si>
    <t>Save this file to a shared OneDrive or SharePoint folder. Power BI connects directly to that location and refreshes automatically.</t>
  </si>
  <si>
    <t>Colour coding</t>
  </si>
  <si>
    <t>Green</t>
  </si>
  <si>
    <t>On track — no action needed.</t>
  </si>
  <si>
    <t>Amber</t>
  </si>
  <si>
    <t>Due within 30 days — plan renewal now.</t>
  </si>
  <si>
    <t>Red</t>
  </si>
  <si>
    <t>Overdue or expires within 14 days — immediate action required.</t>
  </si>
  <si>
    <t>One row per facility — complete this sheet first</t>
  </si>
  <si>
    <t>Facility Name</t>
  </si>
  <si>
    <t>Address</t>
  </si>
  <si>
    <t>Borough</t>
  </si>
  <si>
    <t>Registered Manager</t>
  </si>
  <si>
    <t>Manager Email</t>
  </si>
  <si>
    <t>Manager Phone</t>
  </si>
  <si>
    <t>CQC Number</t>
  </si>
  <si>
    <t>Registered Beds</t>
  </si>
  <si>
    <t>Current Occupancy</t>
  </si>
  <si>
    <t>Facility Type</t>
  </si>
  <si>
    <t>Date Opened</t>
  </si>
  <si>
    <t>Active</t>
  </si>
  <si>
    <t>FAC-001</t>
  </si>
  <si>
    <t>1-12345001</t>
  </si>
  <si>
    <t>Residential</t>
  </si>
  <si>
    <t>01/04/2015</t>
  </si>
  <si>
    <t>Yes</t>
  </si>
  <si>
    <t>FAC-002</t>
  </si>
  <si>
    <t>1-12345002</t>
  </si>
  <si>
    <t>15/09/2018</t>
  </si>
  <si>
    <t>FAC-003</t>
  </si>
  <si>
    <t>1-12345003</t>
  </si>
  <si>
    <t>03/06/2020</t>
  </si>
  <si>
    <t>One row per client — use the same Client ID across all sheets</t>
  </si>
  <si>
    <t>Client Initials</t>
  </si>
  <si>
    <t>Date of Birth</t>
  </si>
  <si>
    <t>Age</t>
  </si>
  <si>
    <t>Admission Date</t>
  </si>
  <si>
    <t>Gender</t>
  </si>
  <si>
    <t>Primary Diagnosis</t>
  </si>
  <si>
    <t>Funding Type</t>
  </si>
  <si>
    <t>Weekly Fee (£)</t>
  </si>
  <si>
    <t>Local Authority</t>
  </si>
  <si>
    <t>NHS CHC</t>
  </si>
  <si>
    <t>Notes</t>
  </si>
  <si>
    <t>CLI-001</t>
  </si>
  <si>
    <t>12/01/2024</t>
  </si>
  <si>
    <t>F</t>
  </si>
  <si>
    <t>No</t>
  </si>
  <si>
    <t>CLI-002</t>
  </si>
  <si>
    <t>03/06/2023</t>
  </si>
  <si>
    <t>M</t>
  </si>
  <si>
    <t>CLI-003</t>
  </si>
  <si>
    <t>19/09/2024</t>
  </si>
  <si>
    <t>CLI-004</t>
  </si>
  <si>
    <t>07/02/2025</t>
  </si>
  <si>
    <t>One row per support plan — traffic lights update automatically</t>
  </si>
  <si>
    <t>Record ID</t>
  </si>
  <si>
    <t>Plan Type</t>
  </si>
  <si>
    <t>Plan Start Date</t>
  </si>
  <si>
    <t>Last Review Date</t>
  </si>
  <si>
    <t>Next Review Due</t>
  </si>
  <si>
    <t>Days Until Due</t>
  </si>
  <si>
    <t>Renewal Status</t>
  </si>
  <si>
    <t>Assigned Key Worker</t>
  </si>
  <si>
    <t>Review Completed</t>
  </si>
  <si>
    <t>SP-001</t>
  </si>
  <si>
    <t>Person-centred plan</t>
  </si>
  <si>
    <t>01/04/2024</t>
  </si>
  <si>
    <t>Key Worker 1</t>
  </si>
  <si>
    <t>SP-002</t>
  </si>
  <si>
    <t>Overdue — contact manager</t>
  </si>
  <si>
    <t>SP-003</t>
  </si>
  <si>
    <t>Key Worker 2</t>
  </si>
  <si>
    <t>SP-004</t>
  </si>
  <si>
    <t>Key Worker 3</t>
  </si>
  <si>
    <t>SP-005</t>
  </si>
  <si>
    <t>Key Worker 4</t>
  </si>
  <si>
    <t>DoLS — Deprivation of Liberty Safeguards</t>
  </si>
  <si>
    <t>Track authorisation and expiry dates — red alerts fire automatically</t>
  </si>
  <si>
    <t>Date Applied</t>
  </si>
  <si>
    <t>Date Granted</t>
  </si>
  <si>
    <t>Expiry Date</t>
  </si>
  <si>
    <t>Days Until Expiry</t>
  </si>
  <si>
    <t>DoLS Status</t>
  </si>
  <si>
    <t>Authorised By</t>
  </si>
  <si>
    <t>Conditions</t>
  </si>
  <si>
    <t>Renewal Applied</t>
  </si>
  <si>
    <t>DOL-001</t>
  </si>
  <si>
    <t>Standard auth</t>
  </si>
  <si>
    <t>DOL-002</t>
  </si>
  <si>
    <t>Conditions apply</t>
  </si>
  <si>
    <t>One row per expense line — enter month and facility for each entry</t>
  </si>
  <si>
    <t>Month</t>
  </si>
  <si>
    <t>Year</t>
  </si>
  <si>
    <t>Category</t>
  </si>
  <si>
    <t>Description</t>
  </si>
  <si>
    <t>Supplier</t>
  </si>
  <si>
    <t>Invoice Ref</t>
  </si>
  <si>
    <t>Amount (£)</t>
  </si>
  <si>
    <t>VAT (£)</t>
  </si>
  <si>
    <t>Total (£)</t>
  </si>
  <si>
    <t>Approved By</t>
  </si>
  <si>
    <t>EXP-001</t>
  </si>
  <si>
    <t>January</t>
  </si>
  <si>
    <t>2025</t>
  </si>
  <si>
    <t>BrightAgency</t>
  </si>
  <si>
    <t>INV-2025-001</t>
  </si>
  <si>
    <t>EXP-002</t>
  </si>
  <si>
    <t>Gas bill</t>
  </si>
  <si>
    <t>British Gas</t>
  </si>
  <si>
    <t>BG-JAN25</t>
  </si>
  <si>
    <t>EXP-003</t>
  </si>
  <si>
    <t>Maintenance</t>
  </si>
  <si>
    <t>Boiler service</t>
  </si>
  <si>
    <t>HC-0012</t>
  </si>
  <si>
    <t>EXP-004</t>
  </si>
  <si>
    <t>February</t>
  </si>
  <si>
    <t>CareForce</t>
  </si>
  <si>
    <t>CF-2025-008</t>
  </si>
  <si>
    <t>EXP-005</t>
  </si>
  <si>
    <t>Incontinence supplies</t>
  </si>
  <si>
    <t>MS-FEB25</t>
  </si>
  <si>
    <t>EXP-006</t>
  </si>
  <si>
    <t>Moving and handling refresh</t>
  </si>
  <si>
    <t>TC-0022</t>
  </si>
  <si>
    <t>Summary — auto-calculated, do not edit</t>
  </si>
  <si>
    <t>Metric</t>
  </si>
  <si>
    <t>Total</t>
  </si>
  <si>
    <t>Total plans</t>
  </si>
  <si>
    <t>On track</t>
  </si>
  <si>
    <t>Due within 30d</t>
  </si>
  <si>
    <t>Overdue</t>
  </si>
  <si>
    <t>DoLS Authorisations</t>
  </si>
  <si>
    <t>Expires in 14 days</t>
  </si>
  <si>
    <t>Expired</t>
  </si>
  <si>
    <t>Expenses (£)</t>
  </si>
  <si>
    <t>Total spend (£)</t>
  </si>
  <si>
    <t>Staffing (£)</t>
  </si>
  <si>
    <t>Utilities (£)</t>
  </si>
  <si>
    <t>Maintenance (£)</t>
  </si>
  <si>
    <t>Market Street</t>
  </si>
  <si>
    <t>404 Romford Road</t>
  </si>
  <si>
    <t>167 High Street South</t>
  </si>
  <si>
    <t>9A Napier Road</t>
  </si>
  <si>
    <t>FAC-004</t>
  </si>
  <si>
    <t>FAC-005</t>
  </si>
  <si>
    <t>152 Market Street, East Ham, E6 2PU</t>
  </si>
  <si>
    <t>404 Romford Road, Forest Gate, E7 8DF</t>
  </si>
  <si>
    <t>Thorngrove Lodge</t>
  </si>
  <si>
    <t>29 Thorngrove Lodge, Newham, E13 0SH</t>
  </si>
  <si>
    <t>25 St. Stephens Road, Newham, E6 1AN</t>
  </si>
  <si>
    <t>167 High Street South, Newham, E6 3PA</t>
  </si>
  <si>
    <t>9A Napier Road, Waltham Forest, E11 3JJ</t>
  </si>
  <si>
    <t>St. Stephens Lodge</t>
  </si>
  <si>
    <t>Bank Avenue</t>
  </si>
  <si>
    <t>Sherwood Park</t>
  </si>
  <si>
    <t>17 Bank Avenue, Mitcham, CR4 3DW</t>
  </si>
  <si>
    <t>70 Sherwood Park Avenue</t>
  </si>
  <si>
    <t>Merton</t>
  </si>
  <si>
    <t>Newham</t>
  </si>
  <si>
    <t>Grace Antwi-Nyame</t>
  </si>
  <si>
    <t>ebenezerrch@gmail.com</t>
  </si>
  <si>
    <t xml:space="preserve">Burton Albert Grant </t>
  </si>
  <si>
    <t>Sangana Rana</t>
  </si>
  <si>
    <t>Afia Choudhoury</t>
  </si>
  <si>
    <t>Donald Eglantine</t>
  </si>
  <si>
    <t>Gordon Jason Stuart</t>
  </si>
  <si>
    <t>Carrick Joanne May</t>
  </si>
  <si>
    <t>Christine  Ann Philips</t>
  </si>
  <si>
    <t>Anthony   Pile Mark</t>
  </si>
  <si>
    <t>Peter  Antonio</t>
  </si>
  <si>
    <t>Louis Manuel Gaboa Dacosta</t>
  </si>
  <si>
    <t>Thomas Ansere</t>
  </si>
  <si>
    <t>Wayne Smikley</t>
  </si>
  <si>
    <t>Theresa Thompson</t>
  </si>
  <si>
    <t>Francisco Victoriano</t>
  </si>
  <si>
    <t>Emmanuel  Brown</t>
  </si>
  <si>
    <t>Stephen Burley</t>
  </si>
  <si>
    <t>Nazneen Ahmed</t>
  </si>
  <si>
    <t>David Samuel Loughlin</t>
  </si>
  <si>
    <t>Kanthan  Rentirakumar</t>
  </si>
  <si>
    <t>Mercy Osunde</t>
  </si>
  <si>
    <t>Horace  Moseley</t>
  </si>
  <si>
    <t>Maria  Fitzgerald</t>
  </si>
  <si>
    <t>Andrew   Akhuemokhan</t>
  </si>
  <si>
    <t>David Alexander John Gourlay</t>
  </si>
  <si>
    <t>Irene Henshaw</t>
  </si>
  <si>
    <t>Kenya Lendo</t>
  </si>
  <si>
    <t>FAC-006</t>
  </si>
  <si>
    <t>FAC-007</t>
  </si>
  <si>
    <t>FAC-008</t>
  </si>
  <si>
    <t>CLI-005</t>
  </si>
  <si>
    <t>CLI-006</t>
  </si>
  <si>
    <t>CLI-007</t>
  </si>
  <si>
    <t>CLI-008</t>
  </si>
  <si>
    <t>CLI-009</t>
  </si>
  <si>
    <t>CLI-010</t>
  </si>
  <si>
    <t>CLI-011</t>
  </si>
  <si>
    <t>CLI-012</t>
  </si>
  <si>
    <t>CLI-013</t>
  </si>
  <si>
    <t>CLI-014</t>
  </si>
  <si>
    <t>CLI-015</t>
  </si>
  <si>
    <t>CLI-016</t>
  </si>
  <si>
    <t>CLI-017</t>
  </si>
  <si>
    <t>CLI-018</t>
  </si>
  <si>
    <t>CLI-019</t>
  </si>
  <si>
    <t>CLI-020</t>
  </si>
  <si>
    <t>CLI-021</t>
  </si>
  <si>
    <t>CLI-022</t>
  </si>
  <si>
    <t>CLI-023</t>
  </si>
  <si>
    <t>CLI-024</t>
  </si>
  <si>
    <t>CLI-025</t>
  </si>
  <si>
    <t>CLI-026</t>
  </si>
  <si>
    <t>EAN</t>
  </si>
  <si>
    <t>ENAN</t>
  </si>
  <si>
    <t>GAN</t>
  </si>
  <si>
    <t>JAN</t>
  </si>
  <si>
    <t>Lewis</t>
  </si>
  <si>
    <t>Toilet</t>
  </si>
  <si>
    <t>Door handle</t>
  </si>
  <si>
    <t>May</t>
  </si>
  <si>
    <t>September</t>
  </si>
  <si>
    <t>July</t>
  </si>
  <si>
    <t>Care Kills Academy</t>
  </si>
  <si>
    <t>Amazon</t>
  </si>
  <si>
    <t>Key Worker 5</t>
  </si>
  <si>
    <t>Key Worker 6</t>
  </si>
  <si>
    <t>Key Worker 7</t>
  </si>
  <si>
    <t>Key Worker 8</t>
  </si>
  <si>
    <t>Key Worker 9</t>
  </si>
  <si>
    <t>Key Worker 10</t>
  </si>
  <si>
    <t>Key Worker 11</t>
  </si>
  <si>
    <t>Key Worker 12</t>
  </si>
  <si>
    <t>07/02/2034</t>
  </si>
  <si>
    <t>Key Worker 13</t>
  </si>
  <si>
    <t>07/02/2035</t>
  </si>
  <si>
    <t>Key Worker 14</t>
  </si>
  <si>
    <t>07/02/2036</t>
  </si>
  <si>
    <t>Key Worker 15</t>
  </si>
  <si>
    <t>07/02/2037</t>
  </si>
  <si>
    <t>Key Worker 16</t>
  </si>
  <si>
    <t>07/02/2038</t>
  </si>
  <si>
    <t>Key Worker 17</t>
  </si>
  <si>
    <t>07/02/2039</t>
  </si>
  <si>
    <t>Key Worker 18</t>
  </si>
  <si>
    <t>07/02/2040</t>
  </si>
  <si>
    <t>Key Worker 19</t>
  </si>
  <si>
    <t>07/02/2041</t>
  </si>
  <si>
    <t>Key Worker 20</t>
  </si>
  <si>
    <t>07/02/2042</t>
  </si>
  <si>
    <t>Key Worker 21</t>
  </si>
  <si>
    <t>07/02/2043</t>
  </si>
  <si>
    <t>Key Worker 22</t>
  </si>
  <si>
    <t>07/02/2044</t>
  </si>
  <si>
    <t>Key Worker 23</t>
  </si>
  <si>
    <t>07/02/2045</t>
  </si>
  <si>
    <t>Key Worker 24</t>
  </si>
  <si>
    <t>07/02/2046</t>
  </si>
  <si>
    <t>Key Worker 25</t>
  </si>
  <si>
    <t>SP-006</t>
  </si>
  <si>
    <t>SP-007</t>
  </si>
  <si>
    <t>SP-008</t>
  </si>
  <si>
    <t>SP-009</t>
  </si>
  <si>
    <t>SP-010</t>
  </si>
  <si>
    <t>SP-011</t>
  </si>
  <si>
    <t>SP-012</t>
  </si>
  <si>
    <t>SP-013</t>
  </si>
  <si>
    <t>SP-014</t>
  </si>
  <si>
    <t>SP-015</t>
  </si>
  <si>
    <t>SP-016</t>
  </si>
  <si>
    <t>SP-017</t>
  </si>
  <si>
    <t>SP-018</t>
  </si>
  <si>
    <t>SP-019</t>
  </si>
  <si>
    <t>SP-020</t>
  </si>
  <si>
    <t>SP-021</t>
  </si>
  <si>
    <t>SP-022</t>
  </si>
  <si>
    <t>SP-023</t>
  </si>
  <si>
    <t>SP-024</t>
  </si>
  <si>
    <t>SP-025</t>
  </si>
  <si>
    <t>SP-026</t>
  </si>
  <si>
    <t>Paranoid Schizophrenia</t>
  </si>
  <si>
    <t>Newham Borough</t>
  </si>
  <si>
    <t>DOLS Team</t>
  </si>
  <si>
    <t>Gas</t>
  </si>
  <si>
    <t>Electricity</t>
  </si>
  <si>
    <t>Telephone</t>
  </si>
  <si>
    <t>Council Tax</t>
  </si>
  <si>
    <t>Water</t>
  </si>
  <si>
    <t>Internet</t>
  </si>
  <si>
    <t>March</t>
  </si>
  <si>
    <t>EXP-007</t>
  </si>
  <si>
    <t>EE</t>
  </si>
  <si>
    <t>Amazon order</t>
  </si>
  <si>
    <t>EXP-008</t>
  </si>
  <si>
    <t>April</t>
  </si>
  <si>
    <t>Gloves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</si>
</sst>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£#,##0"/>
    <numFmt numFmtId="165" formatCode="\£#,##0.00"/>
  </numFmts>
  <fonts count="16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</font>
    <font>
      <b/>
      <sz val="16"/>
      <color rgb="FFFFFFFF"/>
      <name val="Arial"/>
      <family val="2"/>
    </font>
    <font>
      <sz val="10"/>
      <color rgb="FF1A1A1A"/>
      <name val="Arial"/>
      <family val="2"/>
    </font>
    <font>
      <b/>
      <sz val="10"/>
      <color rgb="FF1B3A6B"/>
      <name val="Arial"/>
      <family val="2"/>
    </font>
    <font>
      <sz val="10"/>
      <color rgb="FF1B3A6B"/>
      <name val="Arial"/>
      <family val="2"/>
    </font>
    <font>
      <b/>
      <sz val="14"/>
      <color rgb="FFFFFFFF"/>
      <name val="Arial"/>
      <family val="2"/>
    </font>
    <font>
      <i/>
      <sz val="9"/>
      <color rgb="FF666666"/>
      <name val="Arial"/>
      <family val="2"/>
    </font>
    <font>
      <b/>
      <sz val="11"/>
      <color rgb="FFFFFFFF"/>
      <name val="Arial"/>
      <family val="2"/>
    </font>
    <font>
      <b/>
      <sz val="10"/>
      <color rgb="FF1A1A1A"/>
      <name val="Arial"/>
      <family val="2"/>
    </font>
    <font>
      <b/>
      <sz val="13"/>
      <color rgb="FFFFFFFF"/>
      <name val="Arial"/>
      <family val="2"/>
    </font>
    <font>
      <sz val="8"/>
      <name val="Calibri"/>
      <family val="2"/>
      <charset val="1"/>
    </font>
    <font>
      <b/>
      <sz val="10"/>
      <color rgb="FFFFFFFF"/>
      <name val="Arial"/>
      <family val="2"/>
    </font>
    <font>
      <i/>
      <sz val="10"/>
      <color rgb="FF666666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E1F5EE"/>
        <bgColor rgb="FFEAF3DE"/>
      </patternFill>
    </fill>
    <fill>
      <patternFill patternType="solid">
        <fgColor rgb="FF1D9E75"/>
        <bgColor rgb="FF008080"/>
      </patternFill>
    </fill>
    <fill>
      <patternFill patternType="solid">
        <fgColor rgb="FFF5F5F5"/>
        <bgColor rgb="FFFCEBEB"/>
      </patternFill>
    </fill>
    <fill>
      <patternFill patternType="solid">
        <fgColor rgb="FFFFFFFF"/>
        <bgColor rgb="FFF5F5F5"/>
      </patternFill>
    </fill>
    <fill>
      <patternFill patternType="solid">
        <fgColor rgb="FFEF9F27"/>
        <bgColor rgb="FFFFCC00"/>
      </patternFill>
    </fill>
    <fill>
      <patternFill patternType="solid">
        <fgColor rgb="FFE24B4A"/>
        <bgColor rgb="FF993366"/>
      </patternFill>
    </fill>
  </fills>
  <borders count="3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 style="thin">
        <color rgb="FFD3D1C7"/>
      </right>
      <top/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46">
    <xf numFmtId="0" fontId="0" fillId="0" borderId="0" xfId="0"/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14" fontId="3" fillId="5" borderId="1" xfId="0" applyNumberFormat="1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14" fontId="3" fillId="6" borderId="1" xfId="0" applyNumberFormat="1" applyFont="1" applyFill="1" applyBorder="1" applyAlignment="1">
      <alignment horizontal="left" vertical="center" wrapText="1"/>
    </xf>
    <xf numFmtId="164" fontId="3" fillId="5" borderId="1" xfId="0" applyNumberFormat="1" applyFont="1" applyFill="1" applyBorder="1" applyAlignment="1">
      <alignment horizontal="left" vertical="center" wrapText="1"/>
    </xf>
    <xf numFmtId="164" fontId="3" fillId="6" borderId="1" xfId="0" applyNumberFormat="1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" fontId="3" fillId="5" borderId="1" xfId="0" applyNumberFormat="1" applyFont="1" applyFill="1" applyBorder="1" applyAlignment="1">
      <alignment horizontal="center" vertical="center" wrapText="1"/>
    </xf>
    <xf numFmtId="1" fontId="3" fillId="6" borderId="1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left" vertical="center" wrapText="1"/>
    </xf>
    <xf numFmtId="165" fontId="3" fillId="6" borderId="1" xfId="0" applyNumberFormat="1" applyFont="1" applyFill="1" applyBorder="1" applyAlignment="1">
      <alignment horizontal="left" vertical="center" wrapText="1"/>
    </xf>
    <xf numFmtId="165" fontId="0" fillId="0" borderId="0" xfId="0" applyNumberFormat="1"/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64" fontId="3" fillId="6" borderId="1" xfId="0" applyNumberFormat="1" applyFont="1" applyFill="1" applyBorder="1" applyAlignment="1">
      <alignment horizontal="center" vertical="center" wrapText="1"/>
    </xf>
    <xf numFmtId="164" fontId="9" fillId="6" borderId="1" xfId="0" applyNumberFormat="1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164" fontId="9" fillId="5" borderId="1" xfId="0" applyNumberFormat="1" applyFont="1" applyFill="1" applyBorder="1" applyAlignment="1">
      <alignment horizontal="center" vertical="center" wrapText="1"/>
    </xf>
    <xf numFmtId="0" fontId="1" fillId="0" borderId="0" xfId="0" applyFont="1"/>
    <xf numFmtId="0" fontId="12" fillId="2" borderId="1" xfId="0" applyFont="1" applyFill="1" applyBorder="1" applyAlignment="1">
      <alignment horizontal="center" vertical="center" wrapText="1"/>
    </xf>
    <xf numFmtId="0" fontId="14" fillId="0" borderId="0" xfId="0" applyFont="1"/>
    <xf numFmtId="0" fontId="15" fillId="5" borderId="1" xfId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3" fillId="5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8">
    <dxf>
      <font>
        <b/>
        <sz val="10"/>
        <color rgb="FF3B6D11"/>
        <name val="Arial"/>
        <charset val="1"/>
      </font>
      <fill>
        <patternFill>
          <bgColor rgb="FFEAF3DE"/>
        </patternFill>
      </fill>
    </dxf>
    <dxf>
      <font>
        <b/>
        <sz val="10"/>
        <color rgb="FFEF9F27"/>
        <name val="Arial"/>
        <charset val="1"/>
      </font>
      <fill>
        <patternFill>
          <bgColor rgb="FFFAEEDA"/>
        </patternFill>
      </fill>
    </dxf>
    <dxf>
      <font>
        <b/>
        <sz val="10"/>
        <color rgb="FFE24B4A"/>
        <name val="Arial"/>
        <charset val="1"/>
      </font>
      <fill>
        <patternFill>
          <bgColor rgb="FFFCEBEB"/>
        </patternFill>
      </fill>
    </dxf>
    <dxf>
      <font>
        <b/>
        <sz val="10"/>
        <color rgb="FFE24B4A"/>
        <name val="Arial"/>
        <charset val="1"/>
      </font>
      <fill>
        <patternFill>
          <bgColor rgb="FFFCEBEB"/>
        </patternFill>
      </fill>
    </dxf>
    <dxf>
      <font>
        <b/>
        <sz val="10"/>
        <color rgb="FF3B6D11"/>
        <name val="Arial"/>
        <charset val="1"/>
      </font>
      <fill>
        <patternFill>
          <bgColor rgb="FFEAF3DE"/>
        </patternFill>
      </fill>
    </dxf>
    <dxf>
      <font>
        <b/>
        <sz val="10"/>
        <color rgb="FFEF9F27"/>
        <name val="Arial"/>
        <charset val="1"/>
      </font>
      <fill>
        <patternFill>
          <bgColor rgb="FFFAEEDA"/>
        </patternFill>
      </fill>
    </dxf>
    <dxf>
      <font>
        <b/>
        <sz val="10"/>
        <color rgb="FFE24B4A"/>
        <name val="Arial"/>
        <charset val="1"/>
      </font>
      <fill>
        <patternFill>
          <bgColor rgb="FFFCEBEB"/>
        </patternFill>
      </fill>
    </dxf>
    <dxf>
      <font>
        <b/>
        <sz val="10"/>
        <color rgb="FFE24B4A"/>
        <name val="Arial"/>
        <charset val="1"/>
      </font>
      <fill>
        <patternFill>
          <bgColor rgb="FFFCEBE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808000"/>
      <rgbColor rgb="FF800080"/>
      <rgbColor rgb="FF008080"/>
      <rgbColor rgb="FFD3D1C7"/>
      <rgbColor rgb="FF808080"/>
      <rgbColor rgb="FF9999FF"/>
      <rgbColor rgb="FF993366"/>
      <rgbColor rgb="FFFAEEDA"/>
      <rgbColor rgb="FFE1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EAF3DE"/>
      <rgbColor rgb="FFFCEBE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F9F27"/>
      <rgbColor rgb="FFE24B4A"/>
      <rgbColor rgb="FF666666"/>
      <rgbColor rgb="FF969696"/>
      <rgbColor rgb="FF1B3A6B"/>
      <rgbColor rgb="FF1D9E75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ebenezerrch@gmail.com" TargetMode="External"/><Relationship Id="rId1" Type="http://schemas.openxmlformats.org/officeDocument/2006/relationships/hyperlink" Target="mailto:ebenezerrc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6B"/>
  </sheetPr>
  <dimension ref="A1:B24"/>
  <sheetViews>
    <sheetView topLeftCell="A11" zoomScaleNormal="100" workbookViewId="0">
      <selection sqref="A1:B1"/>
    </sheetView>
  </sheetViews>
  <sheetFormatPr defaultColWidth="8.6328125" defaultRowHeight="14.5" x14ac:dyDescent="0.35"/>
  <cols>
    <col min="1" max="1" width="22" customWidth="1"/>
    <col min="2" max="2" width="72" customWidth="1"/>
  </cols>
  <sheetData>
    <row r="1" spans="1:2" ht="36" customHeight="1" x14ac:dyDescent="0.35">
      <c r="A1" s="34" t="s">
        <v>0</v>
      </c>
      <c r="B1" s="34"/>
    </row>
    <row r="2" spans="1:2" ht="18" customHeight="1" x14ac:dyDescent="0.35">
      <c r="A2" s="1"/>
      <c r="B2" s="1"/>
    </row>
    <row r="3" spans="1:2" ht="25" x14ac:dyDescent="0.35">
      <c r="A3" s="2" t="s">
        <v>1</v>
      </c>
      <c r="B3" s="1" t="s">
        <v>2</v>
      </c>
    </row>
    <row r="4" spans="1:2" ht="18" customHeight="1" x14ac:dyDescent="0.35">
      <c r="A4" s="1"/>
      <c r="B4" s="1"/>
    </row>
    <row r="5" spans="1:2" ht="18" customHeight="1" x14ac:dyDescent="0.35">
      <c r="A5" s="3" t="s">
        <v>3</v>
      </c>
      <c r="B5" s="4" t="s">
        <v>4</v>
      </c>
    </row>
    <row r="6" spans="1:2" ht="18" customHeight="1" x14ac:dyDescent="0.35">
      <c r="A6" s="5" t="s">
        <v>5</v>
      </c>
      <c r="B6" s="1" t="s">
        <v>6</v>
      </c>
    </row>
    <row r="7" spans="1:2" ht="18" customHeight="1" x14ac:dyDescent="0.35">
      <c r="A7" s="5" t="s">
        <v>7</v>
      </c>
      <c r="B7" s="1" t="s">
        <v>8</v>
      </c>
    </row>
    <row r="8" spans="1:2" ht="18" customHeight="1" x14ac:dyDescent="0.35">
      <c r="A8" s="5" t="s">
        <v>9</v>
      </c>
      <c r="B8" s="1" t="s">
        <v>10</v>
      </c>
    </row>
    <row r="9" spans="1:2" ht="18" customHeight="1" x14ac:dyDescent="0.35">
      <c r="A9" s="5" t="s">
        <v>11</v>
      </c>
      <c r="B9" s="1" t="s">
        <v>12</v>
      </c>
    </row>
    <row r="10" spans="1:2" ht="18" customHeight="1" x14ac:dyDescent="0.35">
      <c r="A10" s="5" t="s">
        <v>13</v>
      </c>
      <c r="B10" s="1" t="s">
        <v>14</v>
      </c>
    </row>
    <row r="11" spans="1:2" ht="18" customHeight="1" x14ac:dyDescent="0.35">
      <c r="A11" s="5" t="s">
        <v>15</v>
      </c>
      <c r="B11" s="1" t="s">
        <v>16</v>
      </c>
    </row>
    <row r="12" spans="1:2" ht="18" customHeight="1" x14ac:dyDescent="0.35">
      <c r="A12" s="1"/>
      <c r="B12" s="1"/>
    </row>
    <row r="13" spans="1:2" ht="18" customHeight="1" x14ac:dyDescent="0.35">
      <c r="A13" s="3" t="s">
        <v>17</v>
      </c>
      <c r="B13" s="4"/>
    </row>
    <row r="14" spans="1:2" ht="18" customHeight="1" x14ac:dyDescent="0.35">
      <c r="A14" s="5" t="s">
        <v>18</v>
      </c>
      <c r="B14" s="1" t="s">
        <v>19</v>
      </c>
    </row>
    <row r="15" spans="1:2" ht="18" customHeight="1" x14ac:dyDescent="0.35">
      <c r="A15" s="5" t="s">
        <v>20</v>
      </c>
      <c r="B15" s="1" t="s">
        <v>21</v>
      </c>
    </row>
    <row r="16" spans="1:2" ht="18" customHeight="1" x14ac:dyDescent="0.35">
      <c r="A16" s="5" t="s">
        <v>22</v>
      </c>
      <c r="B16" s="1" t="s">
        <v>23</v>
      </c>
    </row>
    <row r="17" spans="1:2" ht="18" customHeight="1" x14ac:dyDescent="0.35">
      <c r="A17" s="5" t="s">
        <v>24</v>
      </c>
      <c r="B17" s="1" t="s">
        <v>25</v>
      </c>
    </row>
    <row r="18" spans="1:2" ht="25" x14ac:dyDescent="0.35">
      <c r="A18" s="5" t="s">
        <v>26</v>
      </c>
      <c r="B18" s="1" t="s">
        <v>27</v>
      </c>
    </row>
    <row r="19" spans="1:2" ht="25" x14ac:dyDescent="0.35">
      <c r="A19" s="5" t="s">
        <v>28</v>
      </c>
      <c r="B19" s="1" t="s">
        <v>29</v>
      </c>
    </row>
    <row r="20" spans="1:2" ht="18" customHeight="1" x14ac:dyDescent="0.35">
      <c r="A20" s="1"/>
      <c r="B20" s="1"/>
    </row>
    <row r="21" spans="1:2" ht="18" customHeight="1" x14ac:dyDescent="0.35">
      <c r="A21" s="3" t="s">
        <v>30</v>
      </c>
      <c r="B21" s="4"/>
    </row>
    <row r="22" spans="1:2" ht="18" customHeight="1" x14ac:dyDescent="0.35">
      <c r="A22" s="5" t="s">
        <v>31</v>
      </c>
      <c r="B22" s="1" t="s">
        <v>32</v>
      </c>
    </row>
    <row r="23" spans="1:2" ht="18" customHeight="1" x14ac:dyDescent="0.35">
      <c r="A23" s="5" t="s">
        <v>33</v>
      </c>
      <c r="B23" s="1" t="s">
        <v>34</v>
      </c>
    </row>
    <row r="24" spans="1:2" ht="18" customHeight="1" x14ac:dyDescent="0.35">
      <c r="A24" s="5" t="s">
        <v>35</v>
      </c>
      <c r="B24" s="1" t="s">
        <v>36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D9E75"/>
  </sheetPr>
  <dimension ref="A1:P11"/>
  <sheetViews>
    <sheetView zoomScaleNormal="100" workbookViewId="0">
      <pane ySplit="3" topLeftCell="A4" activePane="bottomLeft" state="frozen"/>
      <selection pane="bottomLeft" activeCell="E18" sqref="E18"/>
    </sheetView>
  </sheetViews>
  <sheetFormatPr defaultColWidth="8.6328125" defaultRowHeight="14.5" x14ac:dyDescent="0.35"/>
  <cols>
    <col min="1" max="1" width="12" customWidth="1"/>
    <col min="2" max="2" width="22" customWidth="1"/>
    <col min="3" max="3" width="38.81640625" bestFit="1" customWidth="1"/>
    <col min="4" max="4" width="14" customWidth="1"/>
    <col min="5" max="5" width="20" customWidth="1"/>
    <col min="6" max="6" width="28" customWidth="1"/>
    <col min="7" max="7" width="16" customWidth="1"/>
    <col min="8" max="10" width="14" customWidth="1"/>
    <col min="11" max="11" width="18" customWidth="1"/>
    <col min="12" max="12" width="14" customWidth="1"/>
    <col min="13" max="13" width="8" customWidth="1"/>
  </cols>
  <sheetData>
    <row r="1" spans="1:16" ht="27.75" customHeight="1" x14ac:dyDescent="0.35">
      <c r="A1" s="35" t="s">
        <v>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spans="1:16" ht="18" customHeight="1" x14ac:dyDescent="0.35">
      <c r="A2" s="36" t="s">
        <v>37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</row>
    <row r="3" spans="1:16" ht="26" x14ac:dyDescent="0.35">
      <c r="A3" s="30" t="s">
        <v>22</v>
      </c>
      <c r="B3" s="30" t="s">
        <v>38</v>
      </c>
      <c r="C3" s="30" t="s">
        <v>39</v>
      </c>
      <c r="D3" s="30" t="s">
        <v>40</v>
      </c>
      <c r="E3" s="30" t="s">
        <v>41</v>
      </c>
      <c r="F3" s="30" t="s">
        <v>42</v>
      </c>
      <c r="G3" s="30" t="s">
        <v>43</v>
      </c>
      <c r="H3" s="30" t="s">
        <v>44</v>
      </c>
      <c r="I3" s="30" t="s">
        <v>45</v>
      </c>
      <c r="J3" s="30" t="s">
        <v>46</v>
      </c>
      <c r="K3" s="30" t="s">
        <v>47</v>
      </c>
      <c r="L3" s="30" t="s">
        <v>48</v>
      </c>
      <c r="M3" s="30" t="s">
        <v>49</v>
      </c>
      <c r="N3" s="31"/>
      <c r="O3" s="31"/>
      <c r="P3" s="31"/>
    </row>
    <row r="4" spans="1:16" x14ac:dyDescent="0.35">
      <c r="A4" s="7" t="s">
        <v>50</v>
      </c>
      <c r="B4" s="7" t="s">
        <v>169</v>
      </c>
      <c r="C4" s="7" t="s">
        <v>175</v>
      </c>
      <c r="D4" s="7" t="s">
        <v>188</v>
      </c>
      <c r="E4" s="7" t="s">
        <v>189</v>
      </c>
      <c r="F4" s="32" t="s">
        <v>190</v>
      </c>
      <c r="G4" s="7">
        <v>7908661708</v>
      </c>
      <c r="H4" s="7" t="s">
        <v>51</v>
      </c>
      <c r="I4" s="7">
        <v>5</v>
      </c>
      <c r="J4" s="7">
        <v>5</v>
      </c>
      <c r="K4" s="7" t="s">
        <v>52</v>
      </c>
      <c r="L4" s="8" t="s">
        <v>53</v>
      </c>
      <c r="M4" s="7" t="s">
        <v>54</v>
      </c>
      <c r="N4" s="31"/>
      <c r="O4" s="31"/>
      <c r="P4" s="31"/>
    </row>
    <row r="5" spans="1:16" x14ac:dyDescent="0.35">
      <c r="A5" s="9" t="s">
        <v>55</v>
      </c>
      <c r="B5" s="9" t="s">
        <v>170</v>
      </c>
      <c r="C5" s="9" t="s">
        <v>176</v>
      </c>
      <c r="D5" s="7" t="s">
        <v>188</v>
      </c>
      <c r="E5" s="7" t="s">
        <v>189</v>
      </c>
      <c r="F5" s="32" t="s">
        <v>190</v>
      </c>
      <c r="G5" s="7">
        <v>7908661708</v>
      </c>
      <c r="H5" s="9" t="s">
        <v>56</v>
      </c>
      <c r="I5" s="7">
        <v>5</v>
      </c>
      <c r="J5" s="7">
        <v>5</v>
      </c>
      <c r="K5" s="7" t="s">
        <v>52</v>
      </c>
      <c r="L5" s="10" t="s">
        <v>57</v>
      </c>
      <c r="M5" s="7" t="s">
        <v>54</v>
      </c>
      <c r="N5" s="31"/>
      <c r="O5" s="31"/>
      <c r="P5" s="31"/>
    </row>
    <row r="6" spans="1:16" x14ac:dyDescent="0.35">
      <c r="A6" s="7" t="s">
        <v>58</v>
      </c>
      <c r="B6" s="7" t="s">
        <v>177</v>
      </c>
      <c r="C6" s="7" t="s">
        <v>178</v>
      </c>
      <c r="D6" s="7" t="s">
        <v>188</v>
      </c>
      <c r="E6" s="7" t="s">
        <v>189</v>
      </c>
      <c r="F6" s="32" t="s">
        <v>190</v>
      </c>
      <c r="G6" s="7">
        <v>7908661708</v>
      </c>
      <c r="H6" s="7" t="s">
        <v>59</v>
      </c>
      <c r="I6" s="7">
        <v>5</v>
      </c>
      <c r="J6" s="7">
        <v>5</v>
      </c>
      <c r="K6" s="7" t="s">
        <v>52</v>
      </c>
      <c r="L6" s="8" t="s">
        <v>60</v>
      </c>
      <c r="M6" s="7" t="s">
        <v>54</v>
      </c>
      <c r="N6" s="31"/>
      <c r="O6" s="31"/>
      <c r="P6" s="31"/>
    </row>
    <row r="7" spans="1:16" x14ac:dyDescent="0.35">
      <c r="A7" s="31" t="s">
        <v>173</v>
      </c>
      <c r="B7" s="31" t="s">
        <v>182</v>
      </c>
      <c r="C7" s="31" t="s">
        <v>179</v>
      </c>
      <c r="D7" s="7" t="s">
        <v>188</v>
      </c>
      <c r="E7" s="7" t="s">
        <v>189</v>
      </c>
      <c r="F7" s="32" t="s">
        <v>190</v>
      </c>
      <c r="G7" s="7">
        <v>7908661708</v>
      </c>
      <c r="H7" s="31"/>
      <c r="I7" s="7">
        <v>5</v>
      </c>
      <c r="J7" s="7">
        <v>5</v>
      </c>
      <c r="K7" s="7" t="s">
        <v>52</v>
      </c>
      <c r="L7" s="31"/>
      <c r="M7" s="7" t="s">
        <v>54</v>
      </c>
      <c r="N7" s="31"/>
      <c r="O7" s="31"/>
      <c r="P7" s="31"/>
    </row>
    <row r="8" spans="1:16" x14ac:dyDescent="0.35">
      <c r="A8" s="7" t="s">
        <v>174</v>
      </c>
      <c r="B8" s="31" t="s">
        <v>171</v>
      </c>
      <c r="C8" s="29" t="s">
        <v>180</v>
      </c>
      <c r="D8" s="7" t="s">
        <v>188</v>
      </c>
      <c r="E8" s="7" t="s">
        <v>189</v>
      </c>
      <c r="F8" s="32" t="s">
        <v>190</v>
      </c>
      <c r="G8" s="7">
        <v>7908661708</v>
      </c>
      <c r="H8" s="31"/>
      <c r="I8" s="7">
        <v>5</v>
      </c>
      <c r="J8" s="7">
        <v>5</v>
      </c>
      <c r="K8" s="7" t="s">
        <v>52</v>
      </c>
      <c r="L8" s="31"/>
      <c r="M8" s="7" t="s">
        <v>54</v>
      </c>
      <c r="N8" s="31"/>
      <c r="O8" s="31"/>
      <c r="P8" s="31"/>
    </row>
    <row r="9" spans="1:16" x14ac:dyDescent="0.35">
      <c r="A9" s="31" t="s">
        <v>217</v>
      </c>
      <c r="B9" s="31" t="s">
        <v>172</v>
      </c>
      <c r="C9" s="29" t="s">
        <v>181</v>
      </c>
      <c r="D9" s="7" t="s">
        <v>188</v>
      </c>
      <c r="E9" s="7" t="s">
        <v>189</v>
      </c>
      <c r="F9" s="32" t="s">
        <v>190</v>
      </c>
      <c r="G9" s="7">
        <v>7908661708</v>
      </c>
      <c r="H9" s="31"/>
      <c r="I9" s="7">
        <v>5</v>
      </c>
      <c r="J9" s="7">
        <v>5</v>
      </c>
      <c r="K9" s="7" t="s">
        <v>52</v>
      </c>
      <c r="L9" s="31"/>
      <c r="M9" s="7" t="s">
        <v>54</v>
      </c>
      <c r="N9" s="31"/>
      <c r="O9" s="31"/>
      <c r="P9" s="31"/>
    </row>
    <row r="10" spans="1:16" x14ac:dyDescent="0.35">
      <c r="A10" s="7" t="s">
        <v>218</v>
      </c>
      <c r="B10" s="31" t="s">
        <v>183</v>
      </c>
      <c r="C10" s="31" t="s">
        <v>185</v>
      </c>
      <c r="D10" s="7" t="s">
        <v>188</v>
      </c>
      <c r="E10" s="7" t="s">
        <v>189</v>
      </c>
      <c r="F10" s="32" t="s">
        <v>190</v>
      </c>
      <c r="G10" s="7">
        <v>7908661708</v>
      </c>
      <c r="H10" s="31"/>
      <c r="I10" s="7">
        <v>5</v>
      </c>
      <c r="J10" s="7">
        <v>5</v>
      </c>
      <c r="K10" s="7" t="s">
        <v>52</v>
      </c>
      <c r="L10" s="31"/>
      <c r="M10" s="7" t="s">
        <v>54</v>
      </c>
      <c r="N10" s="31"/>
      <c r="O10" s="31"/>
      <c r="P10" s="31"/>
    </row>
    <row r="11" spans="1:16" x14ac:dyDescent="0.35">
      <c r="A11" s="31" t="s">
        <v>219</v>
      </c>
      <c r="B11" s="31" t="s">
        <v>184</v>
      </c>
      <c r="C11" s="31" t="s">
        <v>186</v>
      </c>
      <c r="D11" s="31" t="s">
        <v>187</v>
      </c>
      <c r="E11" s="7" t="s">
        <v>189</v>
      </c>
      <c r="F11" s="32" t="s">
        <v>190</v>
      </c>
      <c r="G11" s="7">
        <v>7908661708</v>
      </c>
      <c r="H11" s="31"/>
      <c r="I11" s="7">
        <v>5</v>
      </c>
      <c r="J11" s="7">
        <v>5</v>
      </c>
      <c r="K11" s="7" t="s">
        <v>52</v>
      </c>
      <c r="L11" s="31"/>
      <c r="M11" s="7" t="s">
        <v>54</v>
      </c>
      <c r="N11" s="31"/>
      <c r="O11" s="31"/>
      <c r="P11" s="31"/>
    </row>
  </sheetData>
  <mergeCells count="2">
    <mergeCell ref="A1:P1"/>
    <mergeCell ref="A2:P2"/>
  </mergeCells>
  <phoneticPr fontId="11" type="noConversion"/>
  <dataValidations count="2">
    <dataValidation type="list" sqref="M4:M200" xr:uid="{00000000-0002-0000-0100-000000000000}">
      <formula1>"Yes,No"</formula1>
      <formula2>0</formula2>
    </dataValidation>
    <dataValidation type="list" sqref="K4:K200" xr:uid="{00000000-0002-0000-0100-000001000000}">
      <formula1>"Residential,Nursing,Dementia,Learning Disability,Mental Health"</formula1>
      <formula2>0</formula2>
    </dataValidation>
  </dataValidations>
  <hyperlinks>
    <hyperlink ref="F4" r:id="rId1" xr:uid="{03DCEFB1-2F1B-423B-96BE-F6535353F31F}"/>
    <hyperlink ref="F5:F11" r:id="rId2" display="ebenezerrch@gmail.com" xr:uid="{FA6E06EC-7E13-411A-AB48-264F0FC71C24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D9E75"/>
  </sheetPr>
  <dimension ref="A1:P29"/>
  <sheetViews>
    <sheetView zoomScaleNormal="100" workbookViewId="0">
      <pane ySplit="3" topLeftCell="A4" activePane="bottomLeft" state="frozen"/>
      <selection pane="bottomLeft" activeCell="B11" sqref="B11"/>
    </sheetView>
  </sheetViews>
  <sheetFormatPr defaultColWidth="8.6328125" defaultRowHeight="14.5" x14ac:dyDescent="0.35"/>
  <cols>
    <col min="1" max="1" width="10" customWidth="1"/>
    <col min="2" max="2" width="27.1796875" bestFit="1" customWidth="1"/>
    <col min="3" max="3" width="10" customWidth="1"/>
    <col min="4" max="4" width="22" customWidth="1"/>
    <col min="5" max="5" width="14" customWidth="1"/>
    <col min="6" max="6" width="6" customWidth="1"/>
    <col min="7" max="7" width="14" customWidth="1"/>
    <col min="8" max="8" width="8" customWidth="1"/>
    <col min="9" max="9" width="22" customWidth="1"/>
    <col min="10" max="10" width="16" customWidth="1"/>
    <col min="11" max="11" width="14" customWidth="1"/>
    <col min="12" max="12" width="20" customWidth="1"/>
    <col min="13" max="14" width="8" customWidth="1"/>
    <col min="15" max="15" width="24" customWidth="1"/>
  </cols>
  <sheetData>
    <row r="1" spans="1:16" ht="27.75" customHeight="1" x14ac:dyDescent="0.35">
      <c r="A1" s="37" t="s">
        <v>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</row>
    <row r="2" spans="1:16" ht="18" customHeight="1" x14ac:dyDescent="0.35">
      <c r="A2" s="38" t="s">
        <v>61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spans="1:16" ht="28" x14ac:dyDescent="0.35">
      <c r="A3" s="6" t="s">
        <v>20</v>
      </c>
      <c r="B3" s="6" t="s">
        <v>62</v>
      </c>
      <c r="C3" s="6" t="s">
        <v>22</v>
      </c>
      <c r="D3" s="6" t="s">
        <v>38</v>
      </c>
      <c r="E3" s="6" t="s">
        <v>63</v>
      </c>
      <c r="F3" s="6" t="s">
        <v>64</v>
      </c>
      <c r="G3" s="6" t="s">
        <v>65</v>
      </c>
      <c r="H3" s="6" t="s">
        <v>66</v>
      </c>
      <c r="I3" s="6" t="s">
        <v>67</v>
      </c>
      <c r="J3" s="6" t="s">
        <v>68</v>
      </c>
      <c r="K3" s="6" t="s">
        <v>69</v>
      </c>
      <c r="L3" s="6" t="s">
        <v>70</v>
      </c>
      <c r="M3" s="6" t="s">
        <v>71</v>
      </c>
      <c r="N3" s="6" t="s">
        <v>49</v>
      </c>
      <c r="O3" s="6" t="s">
        <v>72</v>
      </c>
    </row>
    <row r="4" spans="1:16" x14ac:dyDescent="0.35">
      <c r="A4" s="7" t="s">
        <v>73</v>
      </c>
      <c r="B4" s="29" t="s">
        <v>191</v>
      </c>
      <c r="C4" s="7" t="s">
        <v>50</v>
      </c>
      <c r="D4" s="7" t="str">
        <f>IFERROR(INDEX(Facilities!B:B,MATCH(C4,Facilities!A:A,0)),"")</f>
        <v>Market Street</v>
      </c>
      <c r="E4" s="8">
        <v>21048</v>
      </c>
      <c r="F4" s="7">
        <f ca="1">IFERROR(DATEDIF(E4,TODAY(),"Y"),"")</f>
        <v>68</v>
      </c>
      <c r="G4" s="8" t="s">
        <v>74</v>
      </c>
      <c r="H4" s="7" t="s">
        <v>75</v>
      </c>
      <c r="I4" s="9" t="s">
        <v>309</v>
      </c>
      <c r="J4" s="7" t="s">
        <v>70</v>
      </c>
      <c r="K4" s="11">
        <v>1200</v>
      </c>
      <c r="L4" s="7" t="s">
        <v>310</v>
      </c>
      <c r="M4" s="7" t="s">
        <v>76</v>
      </c>
      <c r="N4" s="7" t="s">
        <v>54</v>
      </c>
      <c r="O4" s="7"/>
    </row>
    <row r="5" spans="1:16" x14ac:dyDescent="0.35">
      <c r="A5" s="9" t="s">
        <v>77</v>
      </c>
      <c r="B5" s="29" t="s">
        <v>192</v>
      </c>
      <c r="C5" s="9" t="s">
        <v>50</v>
      </c>
      <c r="D5" s="7" t="str">
        <f>IFERROR(INDEX(Facilities!B:B,MATCH(C5,Facilities!A:A,0)),"")</f>
        <v>Market Street</v>
      </c>
      <c r="E5" s="10">
        <v>24998</v>
      </c>
      <c r="F5" s="9">
        <f ca="1">IFERROR(DATEDIF(E5,TODAY(),"Y"),"")</f>
        <v>57</v>
      </c>
      <c r="G5" s="10" t="s">
        <v>78</v>
      </c>
      <c r="H5" s="9" t="s">
        <v>79</v>
      </c>
      <c r="I5" s="9" t="s">
        <v>309</v>
      </c>
      <c r="J5" s="7" t="s">
        <v>70</v>
      </c>
      <c r="K5" s="12">
        <v>1650</v>
      </c>
      <c r="L5" s="7" t="s">
        <v>310</v>
      </c>
      <c r="M5" s="9" t="s">
        <v>76</v>
      </c>
      <c r="N5" s="7" t="s">
        <v>54</v>
      </c>
      <c r="O5" s="9"/>
    </row>
    <row r="6" spans="1:16" x14ac:dyDescent="0.35">
      <c r="A6" s="7" t="s">
        <v>80</v>
      </c>
      <c r="B6" s="29" t="s">
        <v>204</v>
      </c>
      <c r="C6" s="7" t="s">
        <v>50</v>
      </c>
      <c r="D6" s="7" t="str">
        <f>IFERROR(INDEX(Facilities!B:B,MATCH(C6,Facilities!A:A,0)),"")</f>
        <v>Market Street</v>
      </c>
      <c r="E6" s="8">
        <v>27127</v>
      </c>
      <c r="F6" s="7">
        <f ca="1">IFERROR(DATEDIF(E6,TODAY(),"Y"),"")</f>
        <v>52</v>
      </c>
      <c r="G6" s="8" t="s">
        <v>81</v>
      </c>
      <c r="H6" s="7" t="s">
        <v>75</v>
      </c>
      <c r="I6" s="9" t="s">
        <v>309</v>
      </c>
      <c r="J6" s="7" t="s">
        <v>70</v>
      </c>
      <c r="K6" s="11">
        <v>0</v>
      </c>
      <c r="L6" s="7" t="s">
        <v>310</v>
      </c>
      <c r="M6" s="7" t="s">
        <v>54</v>
      </c>
      <c r="N6" s="7" t="s">
        <v>54</v>
      </c>
      <c r="O6" s="7"/>
    </row>
    <row r="7" spans="1:16" x14ac:dyDescent="0.35">
      <c r="A7" s="9" t="s">
        <v>82</v>
      </c>
      <c r="B7" s="29" t="s">
        <v>205</v>
      </c>
      <c r="C7" s="9" t="s">
        <v>50</v>
      </c>
      <c r="D7" s="7" t="str">
        <f>IFERROR(INDEX(Facilities!B:B,MATCH(C7,Facilities!A:A,0)),"")</f>
        <v>Market Street</v>
      </c>
      <c r="E7" s="10">
        <v>27513</v>
      </c>
      <c r="F7" s="9">
        <f ca="1">IFERROR(DATEDIF(E7,TODAY(),"Y"),"")</f>
        <v>51</v>
      </c>
      <c r="G7" s="10" t="s">
        <v>83</v>
      </c>
      <c r="H7" s="9" t="s">
        <v>79</v>
      </c>
      <c r="I7" s="9" t="s">
        <v>309</v>
      </c>
      <c r="J7" s="7" t="s">
        <v>70</v>
      </c>
      <c r="K7" s="12">
        <v>1100</v>
      </c>
      <c r="L7" s="7" t="s">
        <v>310</v>
      </c>
      <c r="M7" s="9" t="s">
        <v>76</v>
      </c>
      <c r="N7" s="7" t="s">
        <v>54</v>
      </c>
      <c r="O7" s="9"/>
    </row>
    <row r="8" spans="1:16" x14ac:dyDescent="0.35">
      <c r="A8" s="7" t="s">
        <v>220</v>
      </c>
      <c r="B8" s="29" t="s">
        <v>197</v>
      </c>
      <c r="C8" s="9" t="s">
        <v>55</v>
      </c>
      <c r="D8" s="7" t="str">
        <f>IFERROR(INDEX(Facilities!B:B,MATCH(C8,Facilities!A:A,0)),"")</f>
        <v>404 Romford Road</v>
      </c>
      <c r="E8" s="10">
        <v>18108</v>
      </c>
      <c r="F8" s="9">
        <f t="shared" ref="F8:F29" ca="1" si="0">IFERROR(DATEDIF(E8,TODAY(),"Y"),"")</f>
        <v>76</v>
      </c>
      <c r="H8" t="s">
        <v>75</v>
      </c>
      <c r="I8" s="9" t="s">
        <v>309</v>
      </c>
      <c r="J8" s="7" t="s">
        <v>70</v>
      </c>
      <c r="L8" s="7" t="s">
        <v>310</v>
      </c>
      <c r="N8" s="7" t="s">
        <v>54</v>
      </c>
    </row>
    <row r="9" spans="1:16" x14ac:dyDescent="0.35">
      <c r="A9" s="9" t="s">
        <v>221</v>
      </c>
      <c r="B9" s="29" t="s">
        <v>214</v>
      </c>
      <c r="C9" s="9" t="s">
        <v>55</v>
      </c>
      <c r="D9" s="7" t="str">
        <f>IFERROR(INDEX(Facilities!B:B,MATCH(C9,Facilities!A:A,0)),"")</f>
        <v>404 Romford Road</v>
      </c>
      <c r="E9" s="10">
        <v>30429</v>
      </c>
      <c r="F9" s="7">
        <f t="shared" ca="1" si="0"/>
        <v>43</v>
      </c>
      <c r="H9" t="s">
        <v>79</v>
      </c>
      <c r="I9" s="9" t="s">
        <v>309</v>
      </c>
      <c r="J9" s="7" t="s">
        <v>70</v>
      </c>
      <c r="L9" s="7" t="s">
        <v>310</v>
      </c>
      <c r="N9" s="7" t="s">
        <v>54</v>
      </c>
    </row>
    <row r="10" spans="1:16" x14ac:dyDescent="0.35">
      <c r="A10" s="7" t="s">
        <v>222</v>
      </c>
      <c r="B10" s="29" t="s">
        <v>215</v>
      </c>
      <c r="C10" s="9" t="s">
        <v>55</v>
      </c>
      <c r="D10" s="7" t="str">
        <f>IFERROR(INDEX(Facilities!B:B,MATCH(C10,Facilities!A:A,0)),"")</f>
        <v>404 Romford Road</v>
      </c>
      <c r="E10" s="10">
        <v>26054</v>
      </c>
      <c r="F10" s="9">
        <f t="shared" ca="1" si="0"/>
        <v>55</v>
      </c>
      <c r="H10" t="s">
        <v>75</v>
      </c>
      <c r="I10" s="9" t="s">
        <v>309</v>
      </c>
      <c r="J10" s="7" t="s">
        <v>70</v>
      </c>
      <c r="L10" s="7" t="s">
        <v>310</v>
      </c>
      <c r="N10" s="7" t="s">
        <v>54</v>
      </c>
    </row>
    <row r="11" spans="1:16" x14ac:dyDescent="0.35">
      <c r="A11" s="9" t="s">
        <v>223</v>
      </c>
      <c r="B11" s="29" t="s">
        <v>209</v>
      </c>
      <c r="C11" s="9" t="s">
        <v>55</v>
      </c>
      <c r="D11" s="7" t="str">
        <f>IFERROR(INDEX(Facilities!B:B,MATCH(C11,Facilities!A:A,0)),"")</f>
        <v>404 Romford Road</v>
      </c>
      <c r="E11" s="10">
        <v>24859</v>
      </c>
      <c r="F11" s="9">
        <f t="shared" ca="1" si="0"/>
        <v>58</v>
      </c>
      <c r="H11" t="s">
        <v>79</v>
      </c>
      <c r="I11" s="9" t="s">
        <v>309</v>
      </c>
      <c r="J11" s="7" t="s">
        <v>70</v>
      </c>
      <c r="L11" s="7" t="s">
        <v>310</v>
      </c>
      <c r="N11" s="7" t="s">
        <v>54</v>
      </c>
    </row>
    <row r="12" spans="1:16" x14ac:dyDescent="0.35">
      <c r="A12" s="7" t="s">
        <v>224</v>
      </c>
      <c r="B12" s="29" t="s">
        <v>203</v>
      </c>
      <c r="C12" s="9" t="s">
        <v>55</v>
      </c>
      <c r="D12" s="7" t="str">
        <f>IFERROR(INDEX(Facilities!B:B,MATCH(C12,Facilities!A:A,0)),"")</f>
        <v>404 Romford Road</v>
      </c>
      <c r="E12" s="10">
        <v>22991</v>
      </c>
      <c r="F12" s="7">
        <f t="shared" ca="1" si="0"/>
        <v>63</v>
      </c>
      <c r="H12" t="s">
        <v>75</v>
      </c>
      <c r="I12" s="9" t="s">
        <v>309</v>
      </c>
      <c r="J12" s="7" t="s">
        <v>70</v>
      </c>
      <c r="L12" s="7" t="s">
        <v>310</v>
      </c>
      <c r="N12" s="7" t="s">
        <v>54</v>
      </c>
    </row>
    <row r="13" spans="1:16" x14ac:dyDescent="0.35">
      <c r="A13" s="9" t="s">
        <v>225</v>
      </c>
      <c r="B13" s="29" t="s">
        <v>198</v>
      </c>
      <c r="C13" s="7" t="s">
        <v>58</v>
      </c>
      <c r="D13" s="7" t="str">
        <f>IFERROR(INDEX(Facilities!B:B,MATCH(C13,Facilities!A:A,0)),"")</f>
        <v>Thorngrove Lodge</v>
      </c>
      <c r="E13" s="10">
        <v>27305</v>
      </c>
      <c r="F13" s="9">
        <f t="shared" ca="1" si="0"/>
        <v>51</v>
      </c>
      <c r="H13" t="s">
        <v>79</v>
      </c>
      <c r="I13" s="9" t="s">
        <v>309</v>
      </c>
      <c r="J13" s="7" t="s">
        <v>70</v>
      </c>
      <c r="L13" s="7" t="s">
        <v>310</v>
      </c>
      <c r="N13" s="7" t="s">
        <v>54</v>
      </c>
    </row>
    <row r="14" spans="1:16" x14ac:dyDescent="0.35">
      <c r="A14" s="7" t="s">
        <v>226</v>
      </c>
      <c r="B14" s="29" t="s">
        <v>199</v>
      </c>
      <c r="C14" s="7" t="s">
        <v>58</v>
      </c>
      <c r="D14" s="7" t="str">
        <f>IFERROR(INDEX(Facilities!B:B,MATCH(C14,Facilities!A:A,0)),"")</f>
        <v>Thorngrove Lodge</v>
      </c>
      <c r="E14" s="10">
        <v>24772</v>
      </c>
      <c r="F14" s="9">
        <f t="shared" ca="1" si="0"/>
        <v>58</v>
      </c>
      <c r="H14" t="s">
        <v>79</v>
      </c>
      <c r="I14" s="9" t="s">
        <v>309</v>
      </c>
      <c r="J14" s="7" t="s">
        <v>70</v>
      </c>
      <c r="L14" s="7" t="s">
        <v>310</v>
      </c>
      <c r="N14" s="7" t="s">
        <v>54</v>
      </c>
    </row>
    <row r="15" spans="1:16" x14ac:dyDescent="0.35">
      <c r="A15" s="9" t="s">
        <v>227</v>
      </c>
      <c r="B15" s="29" t="s">
        <v>202</v>
      </c>
      <c r="C15" s="7" t="s">
        <v>58</v>
      </c>
      <c r="D15" s="7" t="str">
        <f>IFERROR(INDEX(Facilities!B:B,MATCH(C15,Facilities!A:A,0)),"")</f>
        <v>Thorngrove Lodge</v>
      </c>
      <c r="E15" s="10">
        <v>28165</v>
      </c>
      <c r="F15" s="7">
        <f t="shared" ca="1" si="0"/>
        <v>49</v>
      </c>
      <c r="H15" t="s">
        <v>79</v>
      </c>
      <c r="I15" s="9" t="s">
        <v>309</v>
      </c>
      <c r="J15" s="7" t="s">
        <v>70</v>
      </c>
      <c r="L15" s="7" t="s">
        <v>310</v>
      </c>
      <c r="N15" s="7" t="s">
        <v>54</v>
      </c>
    </row>
    <row r="16" spans="1:16" x14ac:dyDescent="0.35">
      <c r="A16" s="7" t="s">
        <v>228</v>
      </c>
      <c r="B16" s="29" t="s">
        <v>212</v>
      </c>
      <c r="C16" s="7" t="s">
        <v>58</v>
      </c>
      <c r="D16" s="7" t="str">
        <f>IFERROR(INDEX(Facilities!B:B,MATCH(C16,Facilities!A:A,0)),"")</f>
        <v>Thorngrove Lodge</v>
      </c>
      <c r="E16" s="10">
        <v>23816</v>
      </c>
      <c r="F16" s="9">
        <f t="shared" ca="1" si="0"/>
        <v>61</v>
      </c>
      <c r="H16" t="s">
        <v>75</v>
      </c>
      <c r="I16" s="9" t="s">
        <v>309</v>
      </c>
      <c r="J16" s="7" t="s">
        <v>70</v>
      </c>
      <c r="L16" s="7" t="s">
        <v>310</v>
      </c>
      <c r="N16" s="7" t="s">
        <v>54</v>
      </c>
    </row>
    <row r="17" spans="1:14" x14ac:dyDescent="0.35">
      <c r="A17" s="9" t="s">
        <v>229</v>
      </c>
      <c r="B17" s="29" t="s">
        <v>196</v>
      </c>
      <c r="C17" s="31" t="s">
        <v>173</v>
      </c>
      <c r="D17" s="7" t="str">
        <f>IFERROR(INDEX(Facilities!B:B,MATCH(C17,Facilities!A:A,0)),"")</f>
        <v>St. Stephens Lodge</v>
      </c>
      <c r="E17" s="10">
        <v>25771</v>
      </c>
      <c r="F17" s="9">
        <f t="shared" ca="1" si="0"/>
        <v>55</v>
      </c>
      <c r="H17" t="s">
        <v>75</v>
      </c>
      <c r="I17" s="9" t="s">
        <v>309</v>
      </c>
      <c r="J17" s="7" t="s">
        <v>70</v>
      </c>
      <c r="L17" s="7" t="s">
        <v>310</v>
      </c>
      <c r="N17" s="7" t="s">
        <v>54</v>
      </c>
    </row>
    <row r="18" spans="1:14" x14ac:dyDescent="0.35">
      <c r="A18" s="7" t="s">
        <v>230</v>
      </c>
      <c r="B18" s="29" t="s">
        <v>195</v>
      </c>
      <c r="C18" s="31" t="s">
        <v>173</v>
      </c>
      <c r="D18" s="7" t="str">
        <f>IFERROR(INDEX(Facilities!B:B,MATCH(C18,Facilities!A:A,0)),"")</f>
        <v>St. Stephens Lodge</v>
      </c>
      <c r="E18" s="10">
        <v>25324</v>
      </c>
      <c r="F18" s="7">
        <f t="shared" ca="1" si="0"/>
        <v>57</v>
      </c>
      <c r="H18" t="s">
        <v>79</v>
      </c>
      <c r="I18" s="9" t="s">
        <v>309</v>
      </c>
      <c r="J18" s="7" t="s">
        <v>70</v>
      </c>
      <c r="L18" s="7" t="s">
        <v>310</v>
      </c>
      <c r="N18" s="7" t="s">
        <v>54</v>
      </c>
    </row>
    <row r="19" spans="1:14" x14ac:dyDescent="0.35">
      <c r="A19" s="9" t="s">
        <v>231</v>
      </c>
      <c r="B19" s="29" t="s">
        <v>201</v>
      </c>
      <c r="C19" s="31" t="s">
        <v>173</v>
      </c>
      <c r="D19" s="7" t="str">
        <f>IFERROR(INDEX(Facilities!B:B,MATCH(C19,Facilities!A:A,0)),"")</f>
        <v>St. Stephens Lodge</v>
      </c>
      <c r="E19" s="10">
        <v>25741</v>
      </c>
      <c r="F19" s="9">
        <f t="shared" ca="1" si="0"/>
        <v>55</v>
      </c>
      <c r="H19" t="s">
        <v>79</v>
      </c>
      <c r="I19" s="9" t="s">
        <v>309</v>
      </c>
      <c r="J19" s="7" t="s">
        <v>70</v>
      </c>
      <c r="L19" s="7" t="s">
        <v>310</v>
      </c>
      <c r="N19" s="7" t="s">
        <v>54</v>
      </c>
    </row>
    <row r="20" spans="1:14" x14ac:dyDescent="0.35">
      <c r="A20" s="7" t="s">
        <v>232</v>
      </c>
      <c r="B20" s="29" t="s">
        <v>210</v>
      </c>
      <c r="C20" s="31" t="s">
        <v>173</v>
      </c>
      <c r="D20" s="7" t="str">
        <f>IFERROR(INDEX(Facilities!B:B,MATCH(C20,Facilities!A:A,0)),"")</f>
        <v>St. Stephens Lodge</v>
      </c>
      <c r="E20" s="10">
        <v>24077</v>
      </c>
      <c r="F20" s="9">
        <f t="shared" ca="1" si="0"/>
        <v>60</v>
      </c>
      <c r="H20" t="s">
        <v>75</v>
      </c>
      <c r="I20" s="9" t="s">
        <v>309</v>
      </c>
      <c r="J20" s="7" t="s">
        <v>70</v>
      </c>
      <c r="L20" s="7" t="s">
        <v>310</v>
      </c>
      <c r="N20" s="7" t="s">
        <v>54</v>
      </c>
    </row>
    <row r="21" spans="1:14" x14ac:dyDescent="0.35">
      <c r="A21" s="9" t="s">
        <v>233</v>
      </c>
      <c r="B21" s="29" t="s">
        <v>213</v>
      </c>
      <c r="C21" s="31" t="s">
        <v>173</v>
      </c>
      <c r="D21" s="7" t="str">
        <f>IFERROR(INDEX(Facilities!B:B,MATCH(C21,Facilities!A:A,0)),"")</f>
        <v>St. Stephens Lodge</v>
      </c>
      <c r="E21" s="10">
        <v>21707</v>
      </c>
      <c r="F21" s="7">
        <f t="shared" ca="1" si="0"/>
        <v>66</v>
      </c>
      <c r="H21" t="s">
        <v>79</v>
      </c>
      <c r="I21" s="9" t="s">
        <v>309</v>
      </c>
      <c r="J21" s="7" t="s">
        <v>70</v>
      </c>
      <c r="L21" s="7" t="s">
        <v>310</v>
      </c>
      <c r="N21" s="7" t="s">
        <v>54</v>
      </c>
    </row>
    <row r="22" spans="1:14" x14ac:dyDescent="0.35">
      <c r="A22" s="7" t="s">
        <v>234</v>
      </c>
      <c r="B22" s="29" t="s">
        <v>193</v>
      </c>
      <c r="C22" s="7" t="s">
        <v>174</v>
      </c>
      <c r="D22" s="7" t="str">
        <f>IFERROR(INDEX(Facilities!B:B,MATCH(C22,Facilities!A:A,0)),"")</f>
        <v>167 High Street South</v>
      </c>
      <c r="E22" s="10">
        <v>26877</v>
      </c>
      <c r="F22" s="9">
        <f t="shared" ca="1" si="0"/>
        <v>52</v>
      </c>
      <c r="H22" t="s">
        <v>75</v>
      </c>
      <c r="I22" s="9" t="s">
        <v>309</v>
      </c>
      <c r="J22" s="7" t="s">
        <v>70</v>
      </c>
      <c r="L22" s="7" t="s">
        <v>310</v>
      </c>
      <c r="N22" s="7" t="s">
        <v>54</v>
      </c>
    </row>
    <row r="23" spans="1:14" x14ac:dyDescent="0.35">
      <c r="A23" s="9" t="s">
        <v>235</v>
      </c>
      <c r="B23" s="29" t="s">
        <v>194</v>
      </c>
      <c r="C23" s="7" t="s">
        <v>174</v>
      </c>
      <c r="D23" s="7" t="str">
        <f>IFERROR(INDEX(Facilities!B:B,MATCH(C23,Facilities!A:A,0)),"")</f>
        <v>167 High Street South</v>
      </c>
      <c r="E23" s="10">
        <v>23930</v>
      </c>
      <c r="F23" s="9">
        <f t="shared" ca="1" si="0"/>
        <v>60</v>
      </c>
      <c r="H23" t="s">
        <v>79</v>
      </c>
      <c r="I23" s="9" t="s">
        <v>309</v>
      </c>
      <c r="J23" s="7" t="s">
        <v>70</v>
      </c>
      <c r="L23" s="7" t="s">
        <v>310</v>
      </c>
      <c r="N23" s="7" t="s">
        <v>54</v>
      </c>
    </row>
    <row r="24" spans="1:14" x14ac:dyDescent="0.35">
      <c r="A24" s="7" t="s">
        <v>236</v>
      </c>
      <c r="B24" s="29" t="s">
        <v>200</v>
      </c>
      <c r="C24" s="7" t="s">
        <v>174</v>
      </c>
      <c r="D24" s="7" t="str">
        <f>IFERROR(INDEX(Facilities!B:B,MATCH(C24,Facilities!A:A,0)),"")</f>
        <v>167 High Street South</v>
      </c>
      <c r="E24" s="10">
        <v>29118</v>
      </c>
      <c r="F24" s="7">
        <f t="shared" ca="1" si="0"/>
        <v>46</v>
      </c>
      <c r="H24" t="s">
        <v>79</v>
      </c>
      <c r="I24" s="9" t="s">
        <v>309</v>
      </c>
      <c r="J24" s="7" t="s">
        <v>70</v>
      </c>
      <c r="L24" s="7" t="s">
        <v>310</v>
      </c>
      <c r="N24" s="7" t="s">
        <v>54</v>
      </c>
    </row>
    <row r="25" spans="1:14" x14ac:dyDescent="0.35">
      <c r="A25" s="9" t="s">
        <v>237</v>
      </c>
      <c r="B25" s="29" t="s">
        <v>206</v>
      </c>
      <c r="C25" s="7" t="s">
        <v>174</v>
      </c>
      <c r="D25" s="7" t="str">
        <f>IFERROR(INDEX(Facilities!B:B,MATCH(C25,Facilities!A:A,0)),"")</f>
        <v>167 High Street South</v>
      </c>
      <c r="E25" s="10">
        <v>29339</v>
      </c>
      <c r="F25" s="9">
        <f t="shared" ca="1" si="0"/>
        <v>46</v>
      </c>
      <c r="H25" t="s">
        <v>79</v>
      </c>
      <c r="I25" s="9" t="s">
        <v>309</v>
      </c>
      <c r="J25" s="7" t="s">
        <v>70</v>
      </c>
      <c r="L25" s="7" t="s">
        <v>310</v>
      </c>
      <c r="N25" s="7" t="s">
        <v>54</v>
      </c>
    </row>
    <row r="26" spans="1:14" x14ac:dyDescent="0.35">
      <c r="A26" s="7" t="s">
        <v>238</v>
      </c>
      <c r="B26" s="29" t="s">
        <v>207</v>
      </c>
      <c r="C26" s="31" t="s">
        <v>217</v>
      </c>
      <c r="D26" s="7" t="str">
        <f>IFERROR(INDEX(Facilities!B:B,MATCH(C26,Facilities!A:A,0)),"")</f>
        <v>9A Napier Road</v>
      </c>
      <c r="E26" s="10">
        <v>30628</v>
      </c>
      <c r="F26" s="9">
        <f t="shared" ca="1" si="0"/>
        <v>42</v>
      </c>
      <c r="H26" t="s">
        <v>75</v>
      </c>
      <c r="I26" s="9" t="s">
        <v>309</v>
      </c>
      <c r="J26" s="7" t="s">
        <v>70</v>
      </c>
      <c r="L26" s="7" t="s">
        <v>310</v>
      </c>
      <c r="N26" s="7" t="s">
        <v>54</v>
      </c>
    </row>
    <row r="27" spans="1:14" x14ac:dyDescent="0.35">
      <c r="A27" s="9" t="s">
        <v>239</v>
      </c>
      <c r="B27" s="29" t="s">
        <v>208</v>
      </c>
      <c r="C27" s="31" t="s">
        <v>217</v>
      </c>
      <c r="D27" s="7" t="str">
        <f>IFERROR(INDEX(Facilities!B:B,MATCH(C27,Facilities!A:A,0)),"")</f>
        <v>9A Napier Road</v>
      </c>
      <c r="E27" s="10">
        <v>22826</v>
      </c>
      <c r="F27" s="7">
        <f t="shared" ca="1" si="0"/>
        <v>63</v>
      </c>
      <c r="H27" t="s">
        <v>79</v>
      </c>
      <c r="I27" s="9" t="s">
        <v>309</v>
      </c>
      <c r="J27" s="7" t="s">
        <v>70</v>
      </c>
      <c r="L27" s="7" t="s">
        <v>310</v>
      </c>
      <c r="N27" s="7" t="s">
        <v>54</v>
      </c>
    </row>
    <row r="28" spans="1:14" x14ac:dyDescent="0.35">
      <c r="A28" s="7" t="s">
        <v>240</v>
      </c>
      <c r="B28" s="29" t="s">
        <v>211</v>
      </c>
      <c r="C28" s="31" t="s">
        <v>217</v>
      </c>
      <c r="D28" s="7" t="str">
        <f>IFERROR(INDEX(Facilities!B:B,MATCH(C28,Facilities!A:A,0)),"")</f>
        <v>9A Napier Road</v>
      </c>
      <c r="E28" s="10">
        <v>16180</v>
      </c>
      <c r="F28" s="9">
        <f t="shared" ca="1" si="0"/>
        <v>82</v>
      </c>
      <c r="H28" t="s">
        <v>79</v>
      </c>
      <c r="I28" s="9" t="s">
        <v>309</v>
      </c>
      <c r="J28" s="7" t="s">
        <v>70</v>
      </c>
      <c r="L28" s="7" t="s">
        <v>310</v>
      </c>
      <c r="N28" s="7" t="s">
        <v>54</v>
      </c>
    </row>
    <row r="29" spans="1:14" x14ac:dyDescent="0.35">
      <c r="A29" s="9" t="s">
        <v>241</v>
      </c>
      <c r="B29" s="29" t="s">
        <v>216</v>
      </c>
      <c r="C29" s="31" t="s">
        <v>217</v>
      </c>
      <c r="D29" s="7" t="str">
        <f>IFERROR(INDEX(Facilities!B:B,MATCH(C29,Facilities!A:A,0)),"")</f>
        <v>9A Napier Road</v>
      </c>
      <c r="E29" s="10">
        <v>36929</v>
      </c>
      <c r="F29" s="9">
        <f t="shared" ca="1" si="0"/>
        <v>25</v>
      </c>
      <c r="H29" t="s">
        <v>75</v>
      </c>
      <c r="I29" s="9" t="s">
        <v>309</v>
      </c>
      <c r="J29" s="7" t="s">
        <v>70</v>
      </c>
      <c r="L29" s="7" t="s">
        <v>310</v>
      </c>
      <c r="N29" s="7" t="s">
        <v>54</v>
      </c>
    </row>
  </sheetData>
  <mergeCells count="2">
    <mergeCell ref="A1:P1"/>
    <mergeCell ref="A2:P2"/>
  </mergeCells>
  <phoneticPr fontId="11" type="noConversion"/>
  <dataValidations count="3">
    <dataValidation type="list" sqref="H4:H495" xr:uid="{00000000-0002-0000-0200-000000000000}">
      <formula1>"M,F,Other,Prefer not to say"</formula1>
      <formula2>0</formula2>
    </dataValidation>
    <dataValidation type="list" sqref="J4:J495" xr:uid="{00000000-0002-0000-0200-000001000000}">
      <formula1>"Self-funded,Local Authority,NHS CHC,Mixed,Unknown"</formula1>
      <formula2>0</formula2>
    </dataValidation>
    <dataValidation type="list" sqref="N4:N495" xr:uid="{00000000-0002-0000-0200-000002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EF9F27"/>
  </sheetPr>
  <dimension ref="A1:P161"/>
  <sheetViews>
    <sheetView zoomScaleNormal="100" workbookViewId="0">
      <pane ySplit="3" topLeftCell="A4" activePane="bottomLeft" state="frozen"/>
      <selection pane="bottomLeft" activeCell="H47" sqref="H47"/>
    </sheetView>
  </sheetViews>
  <sheetFormatPr defaultColWidth="8.6328125" defaultRowHeight="14.5" x14ac:dyDescent="0.35"/>
  <cols>
    <col min="1" max="2" width="10" customWidth="1"/>
    <col min="3" max="3" width="27.54296875" bestFit="1" customWidth="1"/>
    <col min="4" max="4" width="10" customWidth="1"/>
    <col min="5" max="5" width="24" customWidth="1"/>
    <col min="6" max="8" width="16" customWidth="1"/>
    <col min="9" max="9" width="14" customWidth="1"/>
    <col min="10" max="11" width="20" customWidth="1"/>
    <col min="12" max="12" width="14" customWidth="1"/>
    <col min="13" max="13" width="26" customWidth="1"/>
  </cols>
  <sheetData>
    <row r="1" spans="1:16" ht="27.75" customHeight="1" x14ac:dyDescent="0.35">
      <c r="A1" s="39" t="s">
        <v>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8" customHeight="1" x14ac:dyDescent="0.35">
      <c r="A2" s="38" t="s">
        <v>84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spans="1:16" ht="28" x14ac:dyDescent="0.35">
      <c r="A3" s="6" t="s">
        <v>85</v>
      </c>
      <c r="B3" s="6" t="s">
        <v>20</v>
      </c>
      <c r="C3" s="6" t="s">
        <v>62</v>
      </c>
      <c r="D3" s="6" t="s">
        <v>22</v>
      </c>
      <c r="E3" s="6" t="s">
        <v>86</v>
      </c>
      <c r="F3" s="6" t="s">
        <v>87</v>
      </c>
      <c r="G3" s="6" t="s">
        <v>88</v>
      </c>
      <c r="H3" s="6" t="s">
        <v>89</v>
      </c>
      <c r="I3" s="6" t="s">
        <v>90</v>
      </c>
      <c r="J3" s="6" t="s">
        <v>91</v>
      </c>
      <c r="K3" s="6" t="s">
        <v>92</v>
      </c>
      <c r="L3" s="6" t="s">
        <v>93</v>
      </c>
      <c r="M3" s="6" t="s">
        <v>72</v>
      </c>
    </row>
    <row r="4" spans="1:16" x14ac:dyDescent="0.35">
      <c r="A4" s="7" t="s">
        <v>94</v>
      </c>
      <c r="B4" s="7" t="s">
        <v>73</v>
      </c>
      <c r="C4" s="29" t="s">
        <v>191</v>
      </c>
      <c r="D4" s="7" t="s">
        <v>50</v>
      </c>
      <c r="E4" s="7" t="s">
        <v>95</v>
      </c>
      <c r="F4" s="8" t="s">
        <v>96</v>
      </c>
      <c r="G4" s="8">
        <v>46114</v>
      </c>
      <c r="H4" s="8">
        <v>46205</v>
      </c>
      <c r="I4" s="7">
        <f ca="1">IFERROR(H4-TODAY(),"")</f>
        <v>60</v>
      </c>
      <c r="J4" s="13" t="str">
        <f t="shared" ref="J4:J8" ca="1" si="0">IFERROR(IF(H4="","",IF(H4&lt;TODAY(),"OVERDUE",IF(H4-TODAY()&lt;=14,"Expires in 14 days",IF(H4-TODAY()&lt;=30,"Due within 30 days","On track")))),"On track")</f>
        <v>On track</v>
      </c>
      <c r="K4" s="7" t="s">
        <v>97</v>
      </c>
      <c r="L4" s="7" t="s">
        <v>54</v>
      </c>
      <c r="M4" s="7"/>
    </row>
    <row r="5" spans="1:16" x14ac:dyDescent="0.35">
      <c r="A5" s="9" t="s">
        <v>98</v>
      </c>
      <c r="B5" s="9" t="s">
        <v>77</v>
      </c>
      <c r="C5" s="29" t="s">
        <v>192</v>
      </c>
      <c r="D5" s="9" t="s">
        <v>50</v>
      </c>
      <c r="E5" s="7" t="s">
        <v>95</v>
      </c>
      <c r="F5" s="10" t="s">
        <v>96</v>
      </c>
      <c r="G5" s="8">
        <v>46114</v>
      </c>
      <c r="H5" s="8">
        <v>46205</v>
      </c>
      <c r="I5" s="9">
        <f ca="1">IFERROR(H5-TODAY(),"")</f>
        <v>60</v>
      </c>
      <c r="J5" s="14" t="str">
        <f t="shared" ca="1" si="0"/>
        <v>On track</v>
      </c>
      <c r="K5" s="9" t="s">
        <v>97</v>
      </c>
      <c r="L5" s="7" t="s">
        <v>54</v>
      </c>
      <c r="M5" s="9" t="s">
        <v>99</v>
      </c>
    </row>
    <row r="6" spans="1:16" x14ac:dyDescent="0.35">
      <c r="A6" s="7" t="s">
        <v>100</v>
      </c>
      <c r="B6" s="7" t="s">
        <v>80</v>
      </c>
      <c r="C6" s="29" t="s">
        <v>204</v>
      </c>
      <c r="D6" s="7" t="s">
        <v>50</v>
      </c>
      <c r="E6" s="7" t="s">
        <v>95</v>
      </c>
      <c r="F6" s="10" t="s">
        <v>96</v>
      </c>
      <c r="G6" s="8">
        <v>46114</v>
      </c>
      <c r="H6" s="8">
        <v>46205</v>
      </c>
      <c r="I6" s="7">
        <f ca="1">IFERROR(H6-TODAY(),"")</f>
        <v>60</v>
      </c>
      <c r="J6" s="13" t="str">
        <f t="shared" ca="1" si="0"/>
        <v>On track</v>
      </c>
      <c r="K6" s="7" t="s">
        <v>101</v>
      </c>
      <c r="L6" s="7" t="s">
        <v>54</v>
      </c>
      <c r="M6" s="7"/>
    </row>
    <row r="7" spans="1:16" x14ac:dyDescent="0.35">
      <c r="A7" s="9" t="s">
        <v>102</v>
      </c>
      <c r="B7" s="9" t="s">
        <v>82</v>
      </c>
      <c r="C7" s="29" t="s">
        <v>205</v>
      </c>
      <c r="D7" s="9" t="s">
        <v>50</v>
      </c>
      <c r="E7" s="7" t="s">
        <v>95</v>
      </c>
      <c r="F7" s="10" t="s">
        <v>96</v>
      </c>
      <c r="G7" s="8">
        <v>46114</v>
      </c>
      <c r="H7" s="8">
        <v>46205</v>
      </c>
      <c r="I7" s="9">
        <f ca="1">IFERROR(H7-TODAY(),"")</f>
        <v>60</v>
      </c>
      <c r="J7" s="14" t="str">
        <f t="shared" ca="1" si="0"/>
        <v>On track</v>
      </c>
      <c r="K7" s="9" t="s">
        <v>103</v>
      </c>
      <c r="L7" s="7" t="s">
        <v>54</v>
      </c>
      <c r="M7" s="9"/>
    </row>
    <row r="8" spans="1:16" x14ac:dyDescent="0.35">
      <c r="A8" s="7" t="s">
        <v>104</v>
      </c>
      <c r="B8" s="7" t="s">
        <v>220</v>
      </c>
      <c r="C8" s="29" t="s">
        <v>197</v>
      </c>
      <c r="D8" s="9" t="s">
        <v>55</v>
      </c>
      <c r="E8" s="7" t="s">
        <v>95</v>
      </c>
      <c r="F8" s="10" t="s">
        <v>96</v>
      </c>
      <c r="G8" s="8">
        <v>46114</v>
      </c>
      <c r="H8" s="8">
        <v>46205</v>
      </c>
      <c r="I8" s="7">
        <f ca="1">IFERROR(H8-TODAY(),"")</f>
        <v>60</v>
      </c>
      <c r="J8" s="13" t="str">
        <f t="shared" ca="1" si="0"/>
        <v>On track</v>
      </c>
      <c r="K8" s="7" t="s">
        <v>105</v>
      </c>
      <c r="L8" s="7" t="s">
        <v>54</v>
      </c>
      <c r="M8" s="7"/>
    </row>
    <row r="9" spans="1:16" x14ac:dyDescent="0.35">
      <c r="A9" s="7" t="s">
        <v>288</v>
      </c>
      <c r="B9" s="9" t="s">
        <v>221</v>
      </c>
      <c r="C9" s="29" t="s">
        <v>214</v>
      </c>
      <c r="D9" s="9" t="s">
        <v>55</v>
      </c>
      <c r="E9" s="7" t="s">
        <v>95</v>
      </c>
      <c r="F9" s="10" t="s">
        <v>96</v>
      </c>
      <c r="G9" s="8">
        <v>46114</v>
      </c>
      <c r="H9" s="8">
        <v>46205</v>
      </c>
      <c r="I9" s="7">
        <f t="shared" ref="I9:I29" ca="1" si="1">IFERROR(H9-TODAY(),"")</f>
        <v>60</v>
      </c>
      <c r="J9" s="13" t="str">
        <f t="shared" ref="J9:J29" ca="1" si="2">IFERROR(IF(H9="","",IF(H9&lt;TODAY(),"OVERDUE",IF(H9-TODAY()&lt;=14,"Expires in 14 days",IF(H9-TODAY()&lt;=30,"Due within 30 days","On track")))),"On track")</f>
        <v>On track</v>
      </c>
      <c r="K9" s="7" t="s">
        <v>254</v>
      </c>
      <c r="L9" s="7" t="s">
        <v>54</v>
      </c>
      <c r="M9" s="7"/>
    </row>
    <row r="10" spans="1:16" x14ac:dyDescent="0.35">
      <c r="A10" s="9" t="s">
        <v>289</v>
      </c>
      <c r="B10" s="7" t="s">
        <v>222</v>
      </c>
      <c r="C10" s="29" t="s">
        <v>215</v>
      </c>
      <c r="D10" s="9" t="s">
        <v>55</v>
      </c>
      <c r="E10" s="7" t="s">
        <v>95</v>
      </c>
      <c r="F10" s="10" t="s">
        <v>96</v>
      </c>
      <c r="G10" s="8">
        <v>46114</v>
      </c>
      <c r="H10" s="8">
        <v>46205</v>
      </c>
      <c r="I10" s="7">
        <f t="shared" ca="1" si="1"/>
        <v>60</v>
      </c>
      <c r="J10" s="13" t="str">
        <f t="shared" ca="1" si="2"/>
        <v>On track</v>
      </c>
      <c r="K10" s="7" t="s">
        <v>255</v>
      </c>
      <c r="L10" s="7" t="s">
        <v>54</v>
      </c>
      <c r="M10" s="7"/>
    </row>
    <row r="11" spans="1:16" x14ac:dyDescent="0.35">
      <c r="A11" s="7" t="s">
        <v>290</v>
      </c>
      <c r="B11" s="9" t="s">
        <v>223</v>
      </c>
      <c r="C11" s="29" t="s">
        <v>209</v>
      </c>
      <c r="D11" s="9" t="s">
        <v>55</v>
      </c>
      <c r="E11" s="7" t="s">
        <v>95</v>
      </c>
      <c r="F11" s="10" t="s">
        <v>96</v>
      </c>
      <c r="G11" s="8">
        <v>46114</v>
      </c>
      <c r="H11" s="8">
        <v>46205</v>
      </c>
      <c r="I11" s="7">
        <f t="shared" ca="1" si="1"/>
        <v>60</v>
      </c>
      <c r="J11" s="13" t="str">
        <f t="shared" ca="1" si="2"/>
        <v>On track</v>
      </c>
      <c r="K11" s="7" t="s">
        <v>256</v>
      </c>
      <c r="L11" s="7" t="s">
        <v>54</v>
      </c>
      <c r="M11" s="7"/>
    </row>
    <row r="12" spans="1:16" x14ac:dyDescent="0.35">
      <c r="A12" s="9" t="s">
        <v>291</v>
      </c>
      <c r="B12" s="7" t="s">
        <v>224</v>
      </c>
      <c r="C12" s="29" t="s">
        <v>203</v>
      </c>
      <c r="D12" s="9" t="s">
        <v>55</v>
      </c>
      <c r="E12" s="7" t="s">
        <v>95</v>
      </c>
      <c r="F12" s="10" t="s">
        <v>96</v>
      </c>
      <c r="G12" s="8">
        <v>46114</v>
      </c>
      <c r="H12" s="8">
        <v>46205</v>
      </c>
      <c r="I12" s="7">
        <f t="shared" ca="1" si="1"/>
        <v>60</v>
      </c>
      <c r="J12" s="13" t="str">
        <f t="shared" ca="1" si="2"/>
        <v>On track</v>
      </c>
      <c r="K12" s="7" t="s">
        <v>257</v>
      </c>
      <c r="L12" s="7" t="s">
        <v>54</v>
      </c>
      <c r="M12" s="7"/>
    </row>
    <row r="13" spans="1:16" x14ac:dyDescent="0.35">
      <c r="A13" s="7" t="s">
        <v>292</v>
      </c>
      <c r="B13" s="9" t="s">
        <v>225</v>
      </c>
      <c r="C13" s="29" t="s">
        <v>198</v>
      </c>
      <c r="D13" s="7" t="s">
        <v>58</v>
      </c>
      <c r="E13" s="7" t="s">
        <v>95</v>
      </c>
      <c r="F13" s="10" t="s">
        <v>96</v>
      </c>
      <c r="G13" s="8">
        <v>46114</v>
      </c>
      <c r="H13" s="8">
        <v>46205</v>
      </c>
      <c r="I13" s="7">
        <f t="shared" ca="1" si="1"/>
        <v>60</v>
      </c>
      <c r="J13" s="13" t="str">
        <f t="shared" ca="1" si="2"/>
        <v>On track</v>
      </c>
      <c r="K13" s="7" t="s">
        <v>258</v>
      </c>
      <c r="L13" s="7" t="s">
        <v>54</v>
      </c>
      <c r="M13" s="7"/>
    </row>
    <row r="14" spans="1:16" x14ac:dyDescent="0.35">
      <c r="A14" s="7" t="s">
        <v>293</v>
      </c>
      <c r="B14" s="7" t="s">
        <v>226</v>
      </c>
      <c r="C14" s="29" t="s">
        <v>199</v>
      </c>
      <c r="D14" s="7" t="s">
        <v>58</v>
      </c>
      <c r="E14" s="7" t="s">
        <v>95</v>
      </c>
      <c r="F14" s="10" t="s">
        <v>96</v>
      </c>
      <c r="G14" s="8">
        <v>46114</v>
      </c>
      <c r="H14" s="8">
        <v>46205</v>
      </c>
      <c r="I14" s="7">
        <f t="shared" ca="1" si="1"/>
        <v>60</v>
      </c>
      <c r="J14" s="13" t="str">
        <f t="shared" ca="1" si="2"/>
        <v>On track</v>
      </c>
      <c r="K14" s="7" t="s">
        <v>259</v>
      </c>
      <c r="L14" s="7" t="s">
        <v>54</v>
      </c>
      <c r="M14" s="7"/>
    </row>
    <row r="15" spans="1:16" x14ac:dyDescent="0.35">
      <c r="A15" s="9" t="s">
        <v>294</v>
      </c>
      <c r="B15" s="9" t="s">
        <v>227</v>
      </c>
      <c r="C15" s="29" t="s">
        <v>202</v>
      </c>
      <c r="D15" s="7" t="s">
        <v>58</v>
      </c>
      <c r="E15" s="7" t="s">
        <v>95</v>
      </c>
      <c r="F15" s="10" t="s">
        <v>96</v>
      </c>
      <c r="G15" s="8">
        <v>46114</v>
      </c>
      <c r="H15" s="8">
        <v>46205</v>
      </c>
      <c r="I15" s="7">
        <f t="shared" ca="1" si="1"/>
        <v>60</v>
      </c>
      <c r="J15" s="13" t="str">
        <f t="shared" ca="1" si="2"/>
        <v>On track</v>
      </c>
      <c r="K15" s="7" t="s">
        <v>260</v>
      </c>
      <c r="L15" s="7" t="s">
        <v>54</v>
      </c>
      <c r="M15" s="7"/>
    </row>
    <row r="16" spans="1:16" x14ac:dyDescent="0.35">
      <c r="A16" s="7" t="s">
        <v>295</v>
      </c>
      <c r="B16" s="7" t="s">
        <v>228</v>
      </c>
      <c r="C16" s="29" t="s">
        <v>212</v>
      </c>
      <c r="D16" s="7" t="s">
        <v>58</v>
      </c>
      <c r="E16" s="7" t="s">
        <v>95</v>
      </c>
      <c r="F16" s="10" t="s">
        <v>96</v>
      </c>
      <c r="G16" s="8">
        <v>46114</v>
      </c>
      <c r="H16" s="8">
        <v>46205</v>
      </c>
      <c r="I16" s="7">
        <f t="shared" ca="1" si="1"/>
        <v>60</v>
      </c>
      <c r="J16" s="13" t="str">
        <f t="shared" ca="1" si="2"/>
        <v>On track</v>
      </c>
      <c r="K16" s="7" t="s">
        <v>261</v>
      </c>
      <c r="L16" s="7" t="s">
        <v>54</v>
      </c>
      <c r="M16" s="7"/>
    </row>
    <row r="17" spans="1:13" hidden="1" x14ac:dyDescent="0.35">
      <c r="A17" s="9" t="s">
        <v>296</v>
      </c>
      <c r="B17" s="9" t="s">
        <v>229</v>
      </c>
      <c r="C17" s="29" t="s">
        <v>196</v>
      </c>
      <c r="D17" s="31" t="s">
        <v>173</v>
      </c>
      <c r="E17" s="7" t="s">
        <v>95</v>
      </c>
      <c r="F17" s="8" t="s">
        <v>262</v>
      </c>
      <c r="G17" s="10">
        <v>46100</v>
      </c>
      <c r="H17" s="8">
        <v>46241</v>
      </c>
      <c r="I17" s="7">
        <f t="shared" ca="1" si="1"/>
        <v>96</v>
      </c>
      <c r="J17" s="13" t="str">
        <f t="shared" ca="1" si="2"/>
        <v>On track</v>
      </c>
      <c r="K17" s="7" t="s">
        <v>263</v>
      </c>
      <c r="L17" s="7" t="s">
        <v>76</v>
      </c>
      <c r="M17" s="7"/>
    </row>
    <row r="18" spans="1:13" hidden="1" x14ac:dyDescent="0.35">
      <c r="A18" s="7" t="s">
        <v>297</v>
      </c>
      <c r="B18" s="7" t="s">
        <v>230</v>
      </c>
      <c r="C18" s="29" t="s">
        <v>195</v>
      </c>
      <c r="D18" s="31" t="s">
        <v>173</v>
      </c>
      <c r="E18" s="7" t="s">
        <v>95</v>
      </c>
      <c r="F18" s="8" t="s">
        <v>264</v>
      </c>
      <c r="G18" s="10">
        <v>46100</v>
      </c>
      <c r="H18" s="8">
        <v>46241</v>
      </c>
      <c r="I18" s="7">
        <f t="shared" ca="1" si="1"/>
        <v>96</v>
      </c>
      <c r="J18" s="13" t="str">
        <f t="shared" ca="1" si="2"/>
        <v>On track</v>
      </c>
      <c r="K18" s="7" t="s">
        <v>265</v>
      </c>
      <c r="L18" s="7" t="s">
        <v>76</v>
      </c>
      <c r="M18" s="7"/>
    </row>
    <row r="19" spans="1:13" hidden="1" x14ac:dyDescent="0.35">
      <c r="A19" s="7" t="s">
        <v>298</v>
      </c>
      <c r="B19" s="9" t="s">
        <v>231</v>
      </c>
      <c r="C19" s="29" t="s">
        <v>201</v>
      </c>
      <c r="D19" s="31" t="s">
        <v>173</v>
      </c>
      <c r="E19" s="7" t="s">
        <v>95</v>
      </c>
      <c r="F19" s="8" t="s">
        <v>266</v>
      </c>
      <c r="G19" s="10">
        <v>46100</v>
      </c>
      <c r="H19" s="8">
        <v>46241</v>
      </c>
      <c r="I19" s="7">
        <f t="shared" ca="1" si="1"/>
        <v>96</v>
      </c>
      <c r="J19" s="13" t="str">
        <f t="shared" ca="1" si="2"/>
        <v>On track</v>
      </c>
      <c r="K19" s="7" t="s">
        <v>267</v>
      </c>
      <c r="L19" s="7" t="s">
        <v>76</v>
      </c>
      <c r="M19" s="7"/>
    </row>
    <row r="20" spans="1:13" hidden="1" x14ac:dyDescent="0.35">
      <c r="A20" s="9" t="s">
        <v>299</v>
      </c>
      <c r="B20" s="7" t="s">
        <v>232</v>
      </c>
      <c r="C20" s="29" t="s">
        <v>210</v>
      </c>
      <c r="D20" s="31" t="s">
        <v>173</v>
      </c>
      <c r="E20" s="7" t="s">
        <v>95</v>
      </c>
      <c r="F20" s="8" t="s">
        <v>268</v>
      </c>
      <c r="G20" s="10">
        <v>46100</v>
      </c>
      <c r="H20" s="8">
        <v>46241</v>
      </c>
      <c r="I20" s="7">
        <f t="shared" ca="1" si="1"/>
        <v>96</v>
      </c>
      <c r="J20" s="13" t="str">
        <f t="shared" ca="1" si="2"/>
        <v>On track</v>
      </c>
      <c r="K20" s="7" t="s">
        <v>269</v>
      </c>
      <c r="L20" s="7" t="s">
        <v>76</v>
      </c>
      <c r="M20" s="7"/>
    </row>
    <row r="21" spans="1:13" hidden="1" x14ac:dyDescent="0.35">
      <c r="A21" s="7" t="s">
        <v>300</v>
      </c>
      <c r="B21" s="9" t="s">
        <v>233</v>
      </c>
      <c r="C21" s="29" t="s">
        <v>213</v>
      </c>
      <c r="D21" s="31" t="s">
        <v>173</v>
      </c>
      <c r="E21" s="7" t="s">
        <v>95</v>
      </c>
      <c r="F21" s="8" t="s">
        <v>270</v>
      </c>
      <c r="G21" s="10">
        <v>46100</v>
      </c>
      <c r="H21" s="8">
        <v>46241</v>
      </c>
      <c r="I21" s="7">
        <f t="shared" ca="1" si="1"/>
        <v>96</v>
      </c>
      <c r="J21" s="13" t="str">
        <f t="shared" ca="1" si="2"/>
        <v>On track</v>
      </c>
      <c r="K21" s="7" t="s">
        <v>271</v>
      </c>
      <c r="L21" s="7" t="s">
        <v>76</v>
      </c>
      <c r="M21" s="7"/>
    </row>
    <row r="22" spans="1:13" hidden="1" x14ac:dyDescent="0.35">
      <c r="A22" s="9" t="s">
        <v>301</v>
      </c>
      <c r="B22" s="7" t="s">
        <v>234</v>
      </c>
      <c r="C22" s="29" t="s">
        <v>193</v>
      </c>
      <c r="D22" s="7" t="s">
        <v>174</v>
      </c>
      <c r="E22" s="7" t="s">
        <v>95</v>
      </c>
      <c r="F22" s="8" t="s">
        <v>272</v>
      </c>
      <c r="G22" s="10">
        <v>46100</v>
      </c>
      <c r="H22" s="8">
        <v>46241</v>
      </c>
      <c r="I22" s="7">
        <f t="shared" ca="1" si="1"/>
        <v>96</v>
      </c>
      <c r="J22" s="13" t="str">
        <f t="shared" ca="1" si="2"/>
        <v>On track</v>
      </c>
      <c r="K22" s="7" t="s">
        <v>273</v>
      </c>
      <c r="L22" s="7" t="s">
        <v>76</v>
      </c>
      <c r="M22" s="7"/>
    </row>
    <row r="23" spans="1:13" hidden="1" x14ac:dyDescent="0.35">
      <c r="A23" s="7" t="s">
        <v>302</v>
      </c>
      <c r="B23" s="9" t="s">
        <v>235</v>
      </c>
      <c r="C23" s="29" t="s">
        <v>194</v>
      </c>
      <c r="D23" s="7" t="s">
        <v>174</v>
      </c>
      <c r="E23" s="7" t="s">
        <v>95</v>
      </c>
      <c r="F23" s="8" t="s">
        <v>274</v>
      </c>
      <c r="G23" s="10">
        <v>46100</v>
      </c>
      <c r="H23" s="8">
        <v>46241</v>
      </c>
      <c r="I23" s="7">
        <f t="shared" ca="1" si="1"/>
        <v>96</v>
      </c>
      <c r="J23" s="13" t="str">
        <f t="shared" ca="1" si="2"/>
        <v>On track</v>
      </c>
      <c r="K23" s="7" t="s">
        <v>275</v>
      </c>
      <c r="L23" s="7" t="s">
        <v>76</v>
      </c>
      <c r="M23" s="7"/>
    </row>
    <row r="24" spans="1:13" hidden="1" x14ac:dyDescent="0.35">
      <c r="A24" s="7" t="s">
        <v>303</v>
      </c>
      <c r="B24" s="7" t="s">
        <v>236</v>
      </c>
      <c r="C24" s="29" t="s">
        <v>200</v>
      </c>
      <c r="D24" s="7" t="s">
        <v>174</v>
      </c>
      <c r="E24" s="7" t="s">
        <v>95</v>
      </c>
      <c r="F24" s="8" t="s">
        <v>276</v>
      </c>
      <c r="G24" s="10">
        <v>46100</v>
      </c>
      <c r="H24" s="8">
        <v>46241</v>
      </c>
      <c r="I24" s="7">
        <f t="shared" ca="1" si="1"/>
        <v>96</v>
      </c>
      <c r="J24" s="13" t="str">
        <f t="shared" ca="1" si="2"/>
        <v>On track</v>
      </c>
      <c r="K24" s="7" t="s">
        <v>277</v>
      </c>
      <c r="L24" s="7" t="s">
        <v>76</v>
      </c>
      <c r="M24" s="7"/>
    </row>
    <row r="25" spans="1:13" hidden="1" x14ac:dyDescent="0.35">
      <c r="A25" s="9" t="s">
        <v>304</v>
      </c>
      <c r="B25" s="9" t="s">
        <v>237</v>
      </c>
      <c r="C25" s="29" t="s">
        <v>206</v>
      </c>
      <c r="D25" s="7" t="s">
        <v>174</v>
      </c>
      <c r="E25" s="7" t="s">
        <v>95</v>
      </c>
      <c r="F25" s="8" t="s">
        <v>278</v>
      </c>
      <c r="G25" s="10">
        <v>46100</v>
      </c>
      <c r="H25" s="8">
        <v>46241</v>
      </c>
      <c r="I25" s="7">
        <f t="shared" ca="1" si="1"/>
        <v>96</v>
      </c>
      <c r="J25" s="13" t="str">
        <f t="shared" ca="1" si="2"/>
        <v>On track</v>
      </c>
      <c r="K25" s="7" t="s">
        <v>279</v>
      </c>
      <c r="L25" s="7" t="s">
        <v>76</v>
      </c>
      <c r="M25" s="7"/>
    </row>
    <row r="26" spans="1:13" hidden="1" x14ac:dyDescent="0.35">
      <c r="A26" s="7" t="s">
        <v>305</v>
      </c>
      <c r="B26" s="7" t="s">
        <v>238</v>
      </c>
      <c r="C26" s="29" t="s">
        <v>207</v>
      </c>
      <c r="D26" s="31" t="s">
        <v>217</v>
      </c>
      <c r="E26" s="7" t="s">
        <v>95</v>
      </c>
      <c r="F26" s="8" t="s">
        <v>280</v>
      </c>
      <c r="G26" s="10">
        <v>46100</v>
      </c>
      <c r="H26" s="8">
        <v>46241</v>
      </c>
      <c r="I26" s="7">
        <f t="shared" ca="1" si="1"/>
        <v>96</v>
      </c>
      <c r="J26" s="13" t="str">
        <f t="shared" ca="1" si="2"/>
        <v>On track</v>
      </c>
      <c r="K26" s="7" t="s">
        <v>281</v>
      </c>
      <c r="L26" s="7" t="s">
        <v>76</v>
      </c>
      <c r="M26" s="7"/>
    </row>
    <row r="27" spans="1:13" hidden="1" x14ac:dyDescent="0.35">
      <c r="A27" s="9" t="s">
        <v>306</v>
      </c>
      <c r="B27" s="9" t="s">
        <v>239</v>
      </c>
      <c r="C27" s="29" t="s">
        <v>208</v>
      </c>
      <c r="D27" s="31" t="s">
        <v>217</v>
      </c>
      <c r="E27" s="7" t="s">
        <v>95</v>
      </c>
      <c r="F27" s="8" t="s">
        <v>282</v>
      </c>
      <c r="G27" s="10">
        <v>46100</v>
      </c>
      <c r="H27" s="8">
        <v>46241</v>
      </c>
      <c r="I27" s="7">
        <f t="shared" ca="1" si="1"/>
        <v>96</v>
      </c>
      <c r="J27" s="13" t="str">
        <f t="shared" ca="1" si="2"/>
        <v>On track</v>
      </c>
      <c r="K27" s="7" t="s">
        <v>283</v>
      </c>
      <c r="L27" s="7" t="s">
        <v>76</v>
      </c>
      <c r="M27" s="7"/>
    </row>
    <row r="28" spans="1:13" hidden="1" x14ac:dyDescent="0.35">
      <c r="A28" s="7" t="s">
        <v>307</v>
      </c>
      <c r="B28" s="7" t="s">
        <v>240</v>
      </c>
      <c r="C28" s="29" t="s">
        <v>211</v>
      </c>
      <c r="D28" s="31" t="s">
        <v>217</v>
      </c>
      <c r="E28" s="7" t="s">
        <v>95</v>
      </c>
      <c r="F28" s="8" t="s">
        <v>284</v>
      </c>
      <c r="G28" s="10">
        <v>46100</v>
      </c>
      <c r="H28" s="8">
        <v>46241</v>
      </c>
      <c r="I28" s="7">
        <f t="shared" ca="1" si="1"/>
        <v>96</v>
      </c>
      <c r="J28" s="13" t="str">
        <f t="shared" ca="1" si="2"/>
        <v>On track</v>
      </c>
      <c r="K28" s="7" t="s">
        <v>285</v>
      </c>
      <c r="L28" s="7" t="s">
        <v>76</v>
      </c>
      <c r="M28" s="7"/>
    </row>
    <row r="29" spans="1:13" hidden="1" x14ac:dyDescent="0.35">
      <c r="A29" s="7" t="s">
        <v>308</v>
      </c>
      <c r="B29" s="9" t="s">
        <v>241</v>
      </c>
      <c r="C29" s="29" t="s">
        <v>216</v>
      </c>
      <c r="D29" s="31" t="s">
        <v>217</v>
      </c>
      <c r="E29" s="7" t="s">
        <v>95</v>
      </c>
      <c r="F29" s="8" t="s">
        <v>286</v>
      </c>
      <c r="G29" s="10">
        <v>46100</v>
      </c>
      <c r="H29" s="8">
        <v>46241</v>
      </c>
      <c r="I29" s="7">
        <f t="shared" ca="1" si="1"/>
        <v>96</v>
      </c>
      <c r="J29" s="13" t="str">
        <f t="shared" ca="1" si="2"/>
        <v>On track</v>
      </c>
      <c r="K29" s="7" t="s">
        <v>287</v>
      </c>
      <c r="L29" s="7" t="s">
        <v>76</v>
      </c>
      <c r="M29" s="7"/>
    </row>
    <row r="30" spans="1:13" x14ac:dyDescent="0.35">
      <c r="A30" s="7" t="s">
        <v>295</v>
      </c>
      <c r="B30" s="7" t="s">
        <v>229</v>
      </c>
      <c r="C30" s="29" t="s">
        <v>196</v>
      </c>
      <c r="D30" s="31" t="s">
        <v>173</v>
      </c>
      <c r="E30" s="7" t="s">
        <v>95</v>
      </c>
      <c r="F30" s="10" t="s">
        <v>96</v>
      </c>
      <c r="G30" s="8">
        <v>46114</v>
      </c>
      <c r="H30" s="8">
        <v>46205</v>
      </c>
      <c r="I30" s="7">
        <f t="shared" ref="I30:I42" ca="1" si="3">IFERROR(H30-TODAY(),"")</f>
        <v>60</v>
      </c>
      <c r="J30" s="13" t="str">
        <f t="shared" ref="J30:J42" ca="1" si="4">IFERROR(IF(H30="","",IF(H30&lt;TODAY(),"OVERDUE",IF(H30-TODAY()&lt;=14,"Expires in 14 days",IF(H30-TODAY()&lt;=30,"Due within 30 days","On track")))),"On track")</f>
        <v>On track</v>
      </c>
      <c r="K30" s="7" t="s">
        <v>261</v>
      </c>
      <c r="L30" s="7" t="s">
        <v>54</v>
      </c>
      <c r="M30" s="7"/>
    </row>
    <row r="31" spans="1:13" x14ac:dyDescent="0.35">
      <c r="A31" s="7" t="s">
        <v>295</v>
      </c>
      <c r="B31" s="7" t="s">
        <v>230</v>
      </c>
      <c r="C31" s="29" t="s">
        <v>195</v>
      </c>
      <c r="D31" s="31" t="s">
        <v>173</v>
      </c>
      <c r="E31" s="7" t="s">
        <v>95</v>
      </c>
      <c r="F31" s="10" t="s">
        <v>96</v>
      </c>
      <c r="G31" s="8">
        <v>46114</v>
      </c>
      <c r="H31" s="8">
        <v>46205</v>
      </c>
      <c r="I31" s="7">
        <f t="shared" ca="1" si="3"/>
        <v>60</v>
      </c>
      <c r="J31" s="13" t="str">
        <f t="shared" ca="1" si="4"/>
        <v>On track</v>
      </c>
      <c r="K31" s="7" t="s">
        <v>261</v>
      </c>
      <c r="L31" s="7" t="s">
        <v>54</v>
      </c>
      <c r="M31" s="7"/>
    </row>
    <row r="32" spans="1:13" x14ac:dyDescent="0.35">
      <c r="A32" s="7" t="s">
        <v>295</v>
      </c>
      <c r="B32" s="7" t="s">
        <v>231</v>
      </c>
      <c r="C32" s="29" t="s">
        <v>201</v>
      </c>
      <c r="D32" s="31" t="s">
        <v>173</v>
      </c>
      <c r="E32" s="7" t="s">
        <v>95</v>
      </c>
      <c r="F32" s="10" t="s">
        <v>96</v>
      </c>
      <c r="G32" s="8">
        <v>46114</v>
      </c>
      <c r="H32" s="8">
        <v>46205</v>
      </c>
      <c r="I32" s="7">
        <f t="shared" ca="1" si="3"/>
        <v>60</v>
      </c>
      <c r="J32" s="13" t="str">
        <f t="shared" ca="1" si="4"/>
        <v>On track</v>
      </c>
      <c r="K32" s="7" t="s">
        <v>261</v>
      </c>
      <c r="L32" s="7" t="s">
        <v>54</v>
      </c>
      <c r="M32" s="7"/>
    </row>
    <row r="33" spans="1:13" x14ac:dyDescent="0.35">
      <c r="A33" s="7" t="s">
        <v>295</v>
      </c>
      <c r="B33" s="7" t="s">
        <v>232</v>
      </c>
      <c r="C33" s="29" t="s">
        <v>210</v>
      </c>
      <c r="D33" s="31" t="s">
        <v>173</v>
      </c>
      <c r="E33" s="7" t="s">
        <v>95</v>
      </c>
      <c r="F33" s="10" t="s">
        <v>96</v>
      </c>
      <c r="G33" s="8">
        <v>46114</v>
      </c>
      <c r="H33" s="8">
        <v>46205</v>
      </c>
      <c r="I33" s="7">
        <f t="shared" ca="1" si="3"/>
        <v>60</v>
      </c>
      <c r="J33" s="13" t="str">
        <f t="shared" ca="1" si="4"/>
        <v>On track</v>
      </c>
      <c r="K33" s="7" t="s">
        <v>261</v>
      </c>
      <c r="L33" s="7" t="s">
        <v>54</v>
      </c>
      <c r="M33" s="7"/>
    </row>
    <row r="34" spans="1:13" x14ac:dyDescent="0.35">
      <c r="A34" s="7" t="s">
        <v>295</v>
      </c>
      <c r="B34" s="7" t="s">
        <v>233</v>
      </c>
      <c r="C34" s="29" t="s">
        <v>213</v>
      </c>
      <c r="D34" s="31" t="s">
        <v>173</v>
      </c>
      <c r="E34" s="7" t="s">
        <v>95</v>
      </c>
      <c r="F34" s="10" t="s">
        <v>96</v>
      </c>
      <c r="G34" s="8">
        <v>46114</v>
      </c>
      <c r="H34" s="8">
        <v>46205</v>
      </c>
      <c r="I34" s="7">
        <f t="shared" ca="1" si="3"/>
        <v>60</v>
      </c>
      <c r="J34" s="13" t="str">
        <f t="shared" ca="1" si="4"/>
        <v>On track</v>
      </c>
      <c r="K34" s="7" t="s">
        <v>261</v>
      </c>
      <c r="L34" s="7" t="s">
        <v>54</v>
      </c>
      <c r="M34" s="7"/>
    </row>
    <row r="35" spans="1:13" x14ac:dyDescent="0.35">
      <c r="A35" s="7" t="s">
        <v>295</v>
      </c>
      <c r="B35" s="7" t="s">
        <v>234</v>
      </c>
      <c r="C35" s="29" t="s">
        <v>193</v>
      </c>
      <c r="D35" s="7" t="s">
        <v>174</v>
      </c>
      <c r="E35" s="7" t="s">
        <v>95</v>
      </c>
      <c r="F35" s="10" t="s">
        <v>96</v>
      </c>
      <c r="G35" s="8">
        <v>46114</v>
      </c>
      <c r="H35" s="8">
        <v>46205</v>
      </c>
      <c r="I35" s="7">
        <f t="shared" ca="1" si="3"/>
        <v>60</v>
      </c>
      <c r="J35" s="13" t="str">
        <f t="shared" ca="1" si="4"/>
        <v>On track</v>
      </c>
      <c r="K35" s="7" t="s">
        <v>261</v>
      </c>
      <c r="L35" s="7" t="s">
        <v>54</v>
      </c>
      <c r="M35" s="7"/>
    </row>
    <row r="36" spans="1:13" x14ac:dyDescent="0.35">
      <c r="A36" s="7" t="s">
        <v>295</v>
      </c>
      <c r="B36" s="7" t="s">
        <v>235</v>
      </c>
      <c r="C36" s="29" t="s">
        <v>194</v>
      </c>
      <c r="D36" s="7" t="s">
        <v>174</v>
      </c>
      <c r="E36" s="7" t="s">
        <v>95</v>
      </c>
      <c r="F36" s="10" t="s">
        <v>96</v>
      </c>
      <c r="G36" s="8">
        <v>46114</v>
      </c>
      <c r="H36" s="8">
        <v>46205</v>
      </c>
      <c r="I36" s="7">
        <f t="shared" ca="1" si="3"/>
        <v>60</v>
      </c>
      <c r="J36" s="13" t="str">
        <f t="shared" ca="1" si="4"/>
        <v>On track</v>
      </c>
      <c r="K36" s="7" t="s">
        <v>261</v>
      </c>
      <c r="L36" s="7" t="s">
        <v>54</v>
      </c>
      <c r="M36" s="7"/>
    </row>
    <row r="37" spans="1:13" x14ac:dyDescent="0.35">
      <c r="A37" s="7" t="s">
        <v>295</v>
      </c>
      <c r="B37" s="7" t="s">
        <v>236</v>
      </c>
      <c r="C37" s="29" t="s">
        <v>200</v>
      </c>
      <c r="D37" s="7" t="s">
        <v>174</v>
      </c>
      <c r="E37" s="7" t="s">
        <v>95</v>
      </c>
      <c r="F37" s="10" t="s">
        <v>96</v>
      </c>
      <c r="G37" s="8">
        <v>46114</v>
      </c>
      <c r="H37" s="8">
        <v>46205</v>
      </c>
      <c r="I37" s="7">
        <f t="shared" ca="1" si="3"/>
        <v>60</v>
      </c>
      <c r="J37" s="13" t="str">
        <f t="shared" ca="1" si="4"/>
        <v>On track</v>
      </c>
      <c r="K37" s="7" t="s">
        <v>261</v>
      </c>
      <c r="L37" s="7" t="s">
        <v>54</v>
      </c>
      <c r="M37" s="7"/>
    </row>
    <row r="38" spans="1:13" x14ac:dyDescent="0.35">
      <c r="A38" s="7" t="s">
        <v>295</v>
      </c>
      <c r="B38" s="7" t="s">
        <v>237</v>
      </c>
      <c r="C38" s="29" t="s">
        <v>206</v>
      </c>
      <c r="D38" s="7" t="s">
        <v>174</v>
      </c>
      <c r="E38" s="7" t="s">
        <v>95</v>
      </c>
      <c r="F38" s="10" t="s">
        <v>96</v>
      </c>
      <c r="G38" s="8">
        <v>46114</v>
      </c>
      <c r="H38" s="8">
        <v>46205</v>
      </c>
      <c r="I38" s="7">
        <f t="shared" ca="1" si="3"/>
        <v>60</v>
      </c>
      <c r="J38" s="13" t="str">
        <f t="shared" ca="1" si="4"/>
        <v>On track</v>
      </c>
      <c r="K38" s="7" t="s">
        <v>261</v>
      </c>
      <c r="L38" s="7" t="s">
        <v>54</v>
      </c>
      <c r="M38" s="7"/>
    </row>
    <row r="39" spans="1:13" x14ac:dyDescent="0.35">
      <c r="A39" s="7" t="s">
        <v>295</v>
      </c>
      <c r="B39" s="7" t="s">
        <v>238</v>
      </c>
      <c r="C39" s="29" t="s">
        <v>207</v>
      </c>
      <c r="D39" s="31" t="s">
        <v>217</v>
      </c>
      <c r="E39" s="7" t="s">
        <v>95</v>
      </c>
      <c r="F39" s="10" t="s">
        <v>96</v>
      </c>
      <c r="G39" s="8">
        <v>46114</v>
      </c>
      <c r="H39" s="8">
        <v>46205</v>
      </c>
      <c r="I39" s="7">
        <f t="shared" ca="1" si="3"/>
        <v>60</v>
      </c>
      <c r="J39" s="13" t="str">
        <f t="shared" ca="1" si="4"/>
        <v>On track</v>
      </c>
      <c r="K39" s="7" t="s">
        <v>261</v>
      </c>
      <c r="L39" s="7" t="s">
        <v>54</v>
      </c>
      <c r="M39" s="7"/>
    </row>
    <row r="40" spans="1:13" x14ac:dyDescent="0.35">
      <c r="A40" s="7" t="s">
        <v>295</v>
      </c>
      <c r="B40" s="7" t="s">
        <v>239</v>
      </c>
      <c r="C40" s="29" t="s">
        <v>208</v>
      </c>
      <c r="D40" s="31" t="s">
        <v>217</v>
      </c>
      <c r="E40" s="7" t="s">
        <v>95</v>
      </c>
      <c r="F40" s="10" t="s">
        <v>96</v>
      </c>
      <c r="G40" s="8">
        <v>46114</v>
      </c>
      <c r="H40" s="8">
        <v>46205</v>
      </c>
      <c r="I40" s="7">
        <f t="shared" ca="1" si="3"/>
        <v>60</v>
      </c>
      <c r="J40" s="13" t="str">
        <f t="shared" ca="1" si="4"/>
        <v>On track</v>
      </c>
      <c r="K40" s="7" t="s">
        <v>261</v>
      </c>
      <c r="L40" s="7" t="s">
        <v>54</v>
      </c>
      <c r="M40" s="7"/>
    </row>
    <row r="41" spans="1:13" x14ac:dyDescent="0.35">
      <c r="A41" s="7" t="s">
        <v>295</v>
      </c>
      <c r="B41" s="7" t="s">
        <v>240</v>
      </c>
      <c r="C41" s="29" t="s">
        <v>211</v>
      </c>
      <c r="D41" s="31" t="s">
        <v>217</v>
      </c>
      <c r="E41" s="7" t="s">
        <v>95</v>
      </c>
      <c r="F41" s="10" t="s">
        <v>96</v>
      </c>
      <c r="G41" s="8">
        <v>46114</v>
      </c>
      <c r="H41" s="8">
        <v>46205</v>
      </c>
      <c r="I41" s="7">
        <f t="shared" ca="1" si="3"/>
        <v>60</v>
      </c>
      <c r="J41" s="13" t="str">
        <f t="shared" ca="1" si="4"/>
        <v>On track</v>
      </c>
      <c r="K41" s="7" t="s">
        <v>261</v>
      </c>
      <c r="L41" s="7" t="s">
        <v>54</v>
      </c>
      <c r="M41" s="7"/>
    </row>
    <row r="42" spans="1:13" x14ac:dyDescent="0.35">
      <c r="A42" s="7" t="s">
        <v>295</v>
      </c>
      <c r="B42" s="7" t="s">
        <v>241</v>
      </c>
      <c r="C42" s="29" t="s">
        <v>216</v>
      </c>
      <c r="D42" s="31" t="s">
        <v>217</v>
      </c>
      <c r="E42" s="7" t="s">
        <v>95</v>
      </c>
      <c r="F42" s="10" t="s">
        <v>96</v>
      </c>
      <c r="G42" s="8">
        <v>46114</v>
      </c>
      <c r="H42" s="8">
        <v>46205</v>
      </c>
      <c r="I42" s="7">
        <f t="shared" ca="1" si="3"/>
        <v>60</v>
      </c>
      <c r="J42" s="13" t="str">
        <f t="shared" ca="1" si="4"/>
        <v>On track</v>
      </c>
      <c r="K42" s="7" t="s">
        <v>261</v>
      </c>
      <c r="L42" s="7" t="s">
        <v>54</v>
      </c>
      <c r="M42" s="7"/>
    </row>
    <row r="43" spans="1:13" x14ac:dyDescent="0.35">
      <c r="J43" s="15" t="str">
        <f t="shared" ref="J43:J57" ca="1" si="5">IFERROR(IF(H43="","",IF(H43&lt;TODAY(),"OVERDUE",IF(H43-TODAY()&lt;=14,"Expires in 14 days",IF(H43-TODAY()&lt;=30,"Due within 30 days","On track")))),"On track")</f>
        <v/>
      </c>
    </row>
    <row r="44" spans="1:13" x14ac:dyDescent="0.35">
      <c r="J44" s="15" t="str">
        <f t="shared" ca="1" si="5"/>
        <v/>
      </c>
    </row>
    <row r="45" spans="1:13" x14ac:dyDescent="0.35">
      <c r="J45" s="15" t="str">
        <f t="shared" ca="1" si="5"/>
        <v/>
      </c>
    </row>
    <row r="46" spans="1:13" x14ac:dyDescent="0.35">
      <c r="J46" s="15" t="str">
        <f t="shared" ca="1" si="5"/>
        <v/>
      </c>
    </row>
    <row r="47" spans="1:13" x14ac:dyDescent="0.35">
      <c r="J47" s="15" t="str">
        <f t="shared" ca="1" si="5"/>
        <v/>
      </c>
    </row>
    <row r="48" spans="1:13" x14ac:dyDescent="0.35">
      <c r="J48" s="15" t="str">
        <f t="shared" ca="1" si="5"/>
        <v/>
      </c>
    </row>
    <row r="49" spans="10:10" x14ac:dyDescent="0.35">
      <c r="J49" s="15" t="str">
        <f t="shared" ca="1" si="5"/>
        <v/>
      </c>
    </row>
    <row r="50" spans="10:10" x14ac:dyDescent="0.35">
      <c r="J50" s="15" t="str">
        <f t="shared" ca="1" si="5"/>
        <v/>
      </c>
    </row>
    <row r="51" spans="10:10" x14ac:dyDescent="0.35">
      <c r="J51" s="15" t="str">
        <f t="shared" ca="1" si="5"/>
        <v/>
      </c>
    </row>
    <row r="52" spans="10:10" x14ac:dyDescent="0.35">
      <c r="J52" s="15" t="str">
        <f t="shared" ca="1" si="5"/>
        <v/>
      </c>
    </row>
    <row r="53" spans="10:10" x14ac:dyDescent="0.35">
      <c r="J53" s="15" t="str">
        <f t="shared" ca="1" si="5"/>
        <v/>
      </c>
    </row>
    <row r="54" spans="10:10" x14ac:dyDescent="0.35">
      <c r="J54" s="15" t="str">
        <f t="shared" ca="1" si="5"/>
        <v/>
      </c>
    </row>
    <row r="55" spans="10:10" x14ac:dyDescent="0.35">
      <c r="J55" s="15" t="str">
        <f t="shared" ca="1" si="5"/>
        <v/>
      </c>
    </row>
    <row r="56" spans="10:10" x14ac:dyDescent="0.35">
      <c r="J56" s="15" t="str">
        <f t="shared" ca="1" si="5"/>
        <v/>
      </c>
    </row>
    <row r="57" spans="10:10" x14ac:dyDescent="0.35">
      <c r="J57" s="15" t="str">
        <f t="shared" ca="1" si="5"/>
        <v/>
      </c>
    </row>
    <row r="58" spans="10:10" x14ac:dyDescent="0.35">
      <c r="J58" s="15" t="str">
        <f t="shared" ref="J58:J89" ca="1" si="6">IFERROR(IF(H58="","",IF(H58&lt;TODAY(),"OVERDUE",IF(H58-TODAY()&lt;=14,"Expires in 14 days",IF(H58-TODAY()&lt;=30,"Due within 30 days","On track")))),"On track")</f>
        <v/>
      </c>
    </row>
    <row r="59" spans="10:10" x14ac:dyDescent="0.35">
      <c r="J59" s="15" t="str">
        <f t="shared" ca="1" si="6"/>
        <v/>
      </c>
    </row>
    <row r="60" spans="10:10" x14ac:dyDescent="0.35">
      <c r="J60" s="15" t="str">
        <f t="shared" ca="1" si="6"/>
        <v/>
      </c>
    </row>
    <row r="61" spans="10:10" x14ac:dyDescent="0.35">
      <c r="J61" s="15" t="str">
        <f t="shared" ca="1" si="6"/>
        <v/>
      </c>
    </row>
    <row r="62" spans="10:10" x14ac:dyDescent="0.35">
      <c r="J62" s="15" t="str">
        <f t="shared" ca="1" si="6"/>
        <v/>
      </c>
    </row>
    <row r="63" spans="10:10" x14ac:dyDescent="0.35">
      <c r="J63" s="15" t="str">
        <f t="shared" ca="1" si="6"/>
        <v/>
      </c>
    </row>
    <row r="64" spans="10:10" x14ac:dyDescent="0.35">
      <c r="J64" s="15" t="str">
        <f t="shared" ca="1" si="6"/>
        <v/>
      </c>
    </row>
    <row r="65" spans="10:10" x14ac:dyDescent="0.35">
      <c r="J65" s="15" t="str">
        <f t="shared" ca="1" si="6"/>
        <v/>
      </c>
    </row>
    <row r="66" spans="10:10" x14ac:dyDescent="0.35">
      <c r="J66" s="15" t="str">
        <f t="shared" ca="1" si="6"/>
        <v/>
      </c>
    </row>
    <row r="67" spans="10:10" x14ac:dyDescent="0.35">
      <c r="J67" s="15" t="str">
        <f t="shared" ca="1" si="6"/>
        <v/>
      </c>
    </row>
    <row r="68" spans="10:10" x14ac:dyDescent="0.35">
      <c r="J68" s="15" t="str">
        <f t="shared" ca="1" si="6"/>
        <v/>
      </c>
    </row>
    <row r="69" spans="10:10" x14ac:dyDescent="0.35">
      <c r="J69" s="15" t="str">
        <f t="shared" ca="1" si="6"/>
        <v/>
      </c>
    </row>
    <row r="70" spans="10:10" x14ac:dyDescent="0.35">
      <c r="J70" s="15" t="str">
        <f t="shared" ca="1" si="6"/>
        <v/>
      </c>
    </row>
    <row r="71" spans="10:10" x14ac:dyDescent="0.35">
      <c r="J71" s="15" t="str">
        <f t="shared" ca="1" si="6"/>
        <v/>
      </c>
    </row>
    <row r="72" spans="10:10" x14ac:dyDescent="0.35">
      <c r="J72" s="15" t="str">
        <f t="shared" ca="1" si="6"/>
        <v/>
      </c>
    </row>
    <row r="73" spans="10:10" x14ac:dyDescent="0.35">
      <c r="J73" s="15" t="str">
        <f t="shared" ca="1" si="6"/>
        <v/>
      </c>
    </row>
    <row r="74" spans="10:10" x14ac:dyDescent="0.35">
      <c r="J74" s="15" t="str">
        <f t="shared" ca="1" si="6"/>
        <v/>
      </c>
    </row>
    <row r="75" spans="10:10" x14ac:dyDescent="0.35">
      <c r="J75" s="15" t="str">
        <f t="shared" ca="1" si="6"/>
        <v/>
      </c>
    </row>
    <row r="76" spans="10:10" x14ac:dyDescent="0.35">
      <c r="J76" s="15" t="str">
        <f t="shared" ca="1" si="6"/>
        <v/>
      </c>
    </row>
    <row r="77" spans="10:10" x14ac:dyDescent="0.35">
      <c r="J77" s="15" t="str">
        <f t="shared" ca="1" si="6"/>
        <v/>
      </c>
    </row>
    <row r="78" spans="10:10" x14ac:dyDescent="0.35">
      <c r="J78" s="15" t="str">
        <f t="shared" ca="1" si="6"/>
        <v/>
      </c>
    </row>
    <row r="79" spans="10:10" x14ac:dyDescent="0.35">
      <c r="J79" s="15" t="str">
        <f t="shared" ca="1" si="6"/>
        <v/>
      </c>
    </row>
    <row r="80" spans="10:10" x14ac:dyDescent="0.35">
      <c r="J80" s="15" t="str">
        <f t="shared" ca="1" si="6"/>
        <v/>
      </c>
    </row>
    <row r="81" spans="10:10" x14ac:dyDescent="0.35">
      <c r="J81" s="15" t="str">
        <f t="shared" ca="1" si="6"/>
        <v/>
      </c>
    </row>
    <row r="82" spans="10:10" x14ac:dyDescent="0.35">
      <c r="J82" s="15" t="str">
        <f t="shared" ca="1" si="6"/>
        <v/>
      </c>
    </row>
    <row r="83" spans="10:10" x14ac:dyDescent="0.35">
      <c r="J83" s="15" t="str">
        <f t="shared" ca="1" si="6"/>
        <v/>
      </c>
    </row>
    <row r="84" spans="10:10" x14ac:dyDescent="0.35">
      <c r="J84" s="15" t="str">
        <f t="shared" ca="1" si="6"/>
        <v/>
      </c>
    </row>
    <row r="85" spans="10:10" x14ac:dyDescent="0.35">
      <c r="J85" s="15" t="str">
        <f t="shared" ca="1" si="6"/>
        <v/>
      </c>
    </row>
    <row r="86" spans="10:10" x14ac:dyDescent="0.35">
      <c r="J86" s="15" t="str">
        <f t="shared" ca="1" si="6"/>
        <v/>
      </c>
    </row>
    <row r="87" spans="10:10" x14ac:dyDescent="0.35">
      <c r="J87" s="15" t="str">
        <f t="shared" ca="1" si="6"/>
        <v/>
      </c>
    </row>
    <row r="88" spans="10:10" x14ac:dyDescent="0.35">
      <c r="J88" s="15" t="str">
        <f t="shared" ca="1" si="6"/>
        <v/>
      </c>
    </row>
    <row r="89" spans="10:10" x14ac:dyDescent="0.35">
      <c r="J89" s="15" t="str">
        <f t="shared" ca="1" si="6"/>
        <v/>
      </c>
    </row>
    <row r="90" spans="10:10" x14ac:dyDescent="0.35">
      <c r="J90" s="15" t="str">
        <f t="shared" ref="J90:J121" ca="1" si="7">IFERROR(IF(H90="","",IF(H90&lt;TODAY(),"OVERDUE",IF(H90-TODAY()&lt;=14,"Expires in 14 days",IF(H90-TODAY()&lt;=30,"Due within 30 days","On track")))),"On track")</f>
        <v/>
      </c>
    </row>
    <row r="91" spans="10:10" x14ac:dyDescent="0.35">
      <c r="J91" s="15" t="str">
        <f t="shared" ca="1" si="7"/>
        <v/>
      </c>
    </row>
    <row r="92" spans="10:10" x14ac:dyDescent="0.35">
      <c r="J92" s="15" t="str">
        <f t="shared" ca="1" si="7"/>
        <v/>
      </c>
    </row>
    <row r="93" spans="10:10" x14ac:dyDescent="0.35">
      <c r="J93" s="15" t="str">
        <f t="shared" ca="1" si="7"/>
        <v/>
      </c>
    </row>
    <row r="94" spans="10:10" x14ac:dyDescent="0.35">
      <c r="J94" s="15" t="str">
        <f t="shared" ca="1" si="7"/>
        <v/>
      </c>
    </row>
    <row r="95" spans="10:10" x14ac:dyDescent="0.35">
      <c r="J95" s="15" t="str">
        <f t="shared" ca="1" si="7"/>
        <v/>
      </c>
    </row>
    <row r="96" spans="10:10" x14ac:dyDescent="0.35">
      <c r="J96" s="15" t="str">
        <f t="shared" ca="1" si="7"/>
        <v/>
      </c>
    </row>
    <row r="97" spans="10:10" x14ac:dyDescent="0.35">
      <c r="J97" s="15" t="str">
        <f t="shared" ca="1" si="7"/>
        <v/>
      </c>
    </row>
    <row r="98" spans="10:10" x14ac:dyDescent="0.35">
      <c r="J98" s="15" t="str">
        <f t="shared" ca="1" si="7"/>
        <v/>
      </c>
    </row>
    <row r="99" spans="10:10" x14ac:dyDescent="0.35">
      <c r="J99" s="15" t="str">
        <f t="shared" ca="1" si="7"/>
        <v/>
      </c>
    </row>
    <row r="100" spans="10:10" x14ac:dyDescent="0.35">
      <c r="J100" s="15" t="str">
        <f t="shared" ca="1" si="7"/>
        <v/>
      </c>
    </row>
    <row r="101" spans="10:10" x14ac:dyDescent="0.35">
      <c r="J101" s="15" t="str">
        <f t="shared" ca="1" si="7"/>
        <v/>
      </c>
    </row>
    <row r="102" spans="10:10" x14ac:dyDescent="0.35">
      <c r="J102" s="15" t="str">
        <f t="shared" ca="1" si="7"/>
        <v/>
      </c>
    </row>
    <row r="103" spans="10:10" x14ac:dyDescent="0.35">
      <c r="J103" s="15" t="str">
        <f t="shared" ca="1" si="7"/>
        <v/>
      </c>
    </row>
    <row r="104" spans="10:10" x14ac:dyDescent="0.35">
      <c r="J104" s="15" t="str">
        <f t="shared" ca="1" si="7"/>
        <v/>
      </c>
    </row>
    <row r="105" spans="10:10" x14ac:dyDescent="0.35">
      <c r="J105" s="15" t="str">
        <f t="shared" ca="1" si="7"/>
        <v/>
      </c>
    </row>
    <row r="106" spans="10:10" x14ac:dyDescent="0.35">
      <c r="J106" s="15" t="str">
        <f t="shared" ca="1" si="7"/>
        <v/>
      </c>
    </row>
    <row r="107" spans="10:10" x14ac:dyDescent="0.35">
      <c r="J107" s="15" t="str">
        <f t="shared" ca="1" si="7"/>
        <v/>
      </c>
    </row>
    <row r="108" spans="10:10" x14ac:dyDescent="0.35">
      <c r="J108" s="15" t="str">
        <f t="shared" ca="1" si="7"/>
        <v/>
      </c>
    </row>
    <row r="109" spans="10:10" x14ac:dyDescent="0.35">
      <c r="J109" s="15" t="str">
        <f t="shared" ca="1" si="7"/>
        <v/>
      </c>
    </row>
    <row r="110" spans="10:10" x14ac:dyDescent="0.35">
      <c r="J110" s="15" t="str">
        <f t="shared" ca="1" si="7"/>
        <v/>
      </c>
    </row>
    <row r="111" spans="10:10" x14ac:dyDescent="0.35">
      <c r="J111" s="15" t="str">
        <f t="shared" ca="1" si="7"/>
        <v/>
      </c>
    </row>
    <row r="112" spans="10:10" x14ac:dyDescent="0.35">
      <c r="J112" s="15" t="str">
        <f t="shared" ca="1" si="7"/>
        <v/>
      </c>
    </row>
    <row r="113" spans="10:10" x14ac:dyDescent="0.35">
      <c r="J113" s="15" t="str">
        <f t="shared" ca="1" si="7"/>
        <v/>
      </c>
    </row>
    <row r="114" spans="10:10" x14ac:dyDescent="0.35">
      <c r="J114" s="15" t="str">
        <f t="shared" ca="1" si="7"/>
        <v/>
      </c>
    </row>
    <row r="115" spans="10:10" x14ac:dyDescent="0.35">
      <c r="J115" s="15" t="str">
        <f t="shared" ca="1" si="7"/>
        <v/>
      </c>
    </row>
    <row r="116" spans="10:10" x14ac:dyDescent="0.35">
      <c r="J116" s="15" t="str">
        <f t="shared" ca="1" si="7"/>
        <v/>
      </c>
    </row>
    <row r="117" spans="10:10" x14ac:dyDescent="0.35">
      <c r="J117" s="15" t="str">
        <f t="shared" ca="1" si="7"/>
        <v/>
      </c>
    </row>
    <row r="118" spans="10:10" x14ac:dyDescent="0.35">
      <c r="J118" s="15" t="str">
        <f t="shared" ca="1" si="7"/>
        <v/>
      </c>
    </row>
    <row r="119" spans="10:10" x14ac:dyDescent="0.35">
      <c r="J119" s="15" t="str">
        <f t="shared" ca="1" si="7"/>
        <v/>
      </c>
    </row>
    <row r="120" spans="10:10" x14ac:dyDescent="0.35">
      <c r="J120" s="15" t="str">
        <f t="shared" ca="1" si="7"/>
        <v/>
      </c>
    </row>
    <row r="121" spans="10:10" x14ac:dyDescent="0.35">
      <c r="J121" s="15" t="str">
        <f t="shared" ca="1" si="7"/>
        <v/>
      </c>
    </row>
    <row r="122" spans="10:10" x14ac:dyDescent="0.35">
      <c r="J122" s="15" t="str">
        <f t="shared" ref="J122:J153" ca="1" si="8">IFERROR(IF(H122="","",IF(H122&lt;TODAY(),"OVERDUE",IF(H122-TODAY()&lt;=14,"Expires in 14 days",IF(H122-TODAY()&lt;=30,"Due within 30 days","On track")))),"On track")</f>
        <v/>
      </c>
    </row>
    <row r="123" spans="10:10" x14ac:dyDescent="0.35">
      <c r="J123" s="15" t="str">
        <f t="shared" ca="1" si="8"/>
        <v/>
      </c>
    </row>
    <row r="124" spans="10:10" x14ac:dyDescent="0.35">
      <c r="J124" s="15" t="str">
        <f t="shared" ca="1" si="8"/>
        <v/>
      </c>
    </row>
    <row r="125" spans="10:10" x14ac:dyDescent="0.35">
      <c r="J125" s="15" t="str">
        <f t="shared" ca="1" si="8"/>
        <v/>
      </c>
    </row>
    <row r="126" spans="10:10" x14ac:dyDescent="0.35">
      <c r="J126" s="15" t="str">
        <f t="shared" ca="1" si="8"/>
        <v/>
      </c>
    </row>
    <row r="127" spans="10:10" x14ac:dyDescent="0.35">
      <c r="J127" s="15" t="str">
        <f t="shared" ca="1" si="8"/>
        <v/>
      </c>
    </row>
    <row r="128" spans="10:10" x14ac:dyDescent="0.35">
      <c r="J128" s="15" t="str">
        <f t="shared" ca="1" si="8"/>
        <v/>
      </c>
    </row>
    <row r="129" spans="10:10" x14ac:dyDescent="0.35">
      <c r="J129" s="15" t="str">
        <f t="shared" ca="1" si="8"/>
        <v/>
      </c>
    </row>
    <row r="130" spans="10:10" x14ac:dyDescent="0.35">
      <c r="J130" s="15" t="str">
        <f t="shared" ca="1" si="8"/>
        <v/>
      </c>
    </row>
    <row r="131" spans="10:10" x14ac:dyDescent="0.35">
      <c r="J131" s="15" t="str">
        <f t="shared" ca="1" si="8"/>
        <v/>
      </c>
    </row>
    <row r="132" spans="10:10" x14ac:dyDescent="0.35">
      <c r="J132" s="15" t="str">
        <f t="shared" ca="1" si="8"/>
        <v/>
      </c>
    </row>
    <row r="133" spans="10:10" x14ac:dyDescent="0.35">
      <c r="J133" s="15" t="str">
        <f t="shared" ca="1" si="8"/>
        <v/>
      </c>
    </row>
    <row r="134" spans="10:10" x14ac:dyDescent="0.35">
      <c r="J134" s="15" t="str">
        <f t="shared" ca="1" si="8"/>
        <v/>
      </c>
    </row>
    <row r="135" spans="10:10" x14ac:dyDescent="0.35">
      <c r="J135" s="15" t="str">
        <f t="shared" ca="1" si="8"/>
        <v/>
      </c>
    </row>
    <row r="136" spans="10:10" x14ac:dyDescent="0.35">
      <c r="J136" s="15" t="str">
        <f t="shared" ca="1" si="8"/>
        <v/>
      </c>
    </row>
    <row r="137" spans="10:10" x14ac:dyDescent="0.35">
      <c r="J137" s="15" t="str">
        <f t="shared" ca="1" si="8"/>
        <v/>
      </c>
    </row>
    <row r="138" spans="10:10" x14ac:dyDescent="0.35">
      <c r="J138" s="15" t="str">
        <f t="shared" ca="1" si="8"/>
        <v/>
      </c>
    </row>
    <row r="139" spans="10:10" x14ac:dyDescent="0.35">
      <c r="J139" s="15" t="str">
        <f t="shared" ca="1" si="8"/>
        <v/>
      </c>
    </row>
    <row r="140" spans="10:10" x14ac:dyDescent="0.35">
      <c r="J140" s="15" t="str">
        <f t="shared" ca="1" si="8"/>
        <v/>
      </c>
    </row>
    <row r="141" spans="10:10" x14ac:dyDescent="0.35">
      <c r="J141" s="15" t="str">
        <f t="shared" ca="1" si="8"/>
        <v/>
      </c>
    </row>
    <row r="142" spans="10:10" x14ac:dyDescent="0.35">
      <c r="J142" s="15" t="str">
        <f t="shared" ca="1" si="8"/>
        <v/>
      </c>
    </row>
    <row r="143" spans="10:10" x14ac:dyDescent="0.35">
      <c r="J143" s="15" t="str">
        <f t="shared" ca="1" si="8"/>
        <v/>
      </c>
    </row>
    <row r="144" spans="10:10" x14ac:dyDescent="0.35">
      <c r="J144" s="15" t="str">
        <f t="shared" ca="1" si="8"/>
        <v/>
      </c>
    </row>
    <row r="145" spans="10:10" x14ac:dyDescent="0.35">
      <c r="J145" s="15" t="str">
        <f t="shared" ca="1" si="8"/>
        <v/>
      </c>
    </row>
    <row r="146" spans="10:10" x14ac:dyDescent="0.35">
      <c r="J146" s="15" t="str">
        <f t="shared" ca="1" si="8"/>
        <v/>
      </c>
    </row>
    <row r="147" spans="10:10" x14ac:dyDescent="0.35">
      <c r="J147" s="15" t="str">
        <f t="shared" ca="1" si="8"/>
        <v/>
      </c>
    </row>
    <row r="148" spans="10:10" x14ac:dyDescent="0.35">
      <c r="J148" s="15" t="str">
        <f t="shared" ca="1" si="8"/>
        <v/>
      </c>
    </row>
    <row r="149" spans="10:10" x14ac:dyDescent="0.35">
      <c r="J149" s="15" t="str">
        <f t="shared" ca="1" si="8"/>
        <v/>
      </c>
    </row>
    <row r="150" spans="10:10" x14ac:dyDescent="0.35">
      <c r="J150" s="15" t="str">
        <f t="shared" ca="1" si="8"/>
        <v/>
      </c>
    </row>
    <row r="151" spans="10:10" x14ac:dyDescent="0.35">
      <c r="J151" s="15" t="str">
        <f t="shared" ca="1" si="8"/>
        <v/>
      </c>
    </row>
    <row r="152" spans="10:10" x14ac:dyDescent="0.35">
      <c r="J152" s="15" t="str">
        <f t="shared" ca="1" si="8"/>
        <v/>
      </c>
    </row>
    <row r="153" spans="10:10" x14ac:dyDescent="0.35">
      <c r="J153" s="15" t="str">
        <f t="shared" ca="1" si="8"/>
        <v/>
      </c>
    </row>
    <row r="154" spans="10:10" x14ac:dyDescent="0.35">
      <c r="J154" s="15" t="str">
        <f t="shared" ref="J154:J161" ca="1" si="9">IFERROR(IF(H154="","",IF(H154&lt;TODAY(),"OVERDUE",IF(H154-TODAY()&lt;=14,"Expires in 14 days",IF(H154-TODAY()&lt;=30,"Due within 30 days","On track")))),"On track")</f>
        <v/>
      </c>
    </row>
    <row r="155" spans="10:10" x14ac:dyDescent="0.35">
      <c r="J155" s="15" t="str">
        <f t="shared" ca="1" si="9"/>
        <v/>
      </c>
    </row>
    <row r="156" spans="10:10" x14ac:dyDescent="0.35">
      <c r="J156" s="15" t="str">
        <f t="shared" ca="1" si="9"/>
        <v/>
      </c>
    </row>
    <row r="157" spans="10:10" x14ac:dyDescent="0.35">
      <c r="J157" s="15" t="str">
        <f t="shared" ca="1" si="9"/>
        <v/>
      </c>
    </row>
    <row r="158" spans="10:10" x14ac:dyDescent="0.35">
      <c r="J158" s="15" t="str">
        <f t="shared" ca="1" si="9"/>
        <v/>
      </c>
    </row>
    <row r="159" spans="10:10" x14ac:dyDescent="0.35">
      <c r="J159" s="15" t="str">
        <f t="shared" ca="1" si="9"/>
        <v/>
      </c>
    </row>
    <row r="160" spans="10:10" x14ac:dyDescent="0.35">
      <c r="J160" s="15" t="str">
        <f t="shared" ca="1" si="9"/>
        <v/>
      </c>
    </row>
    <row r="161" spans="10:10" x14ac:dyDescent="0.35">
      <c r="J161" s="15" t="str">
        <f t="shared" ca="1" si="9"/>
        <v/>
      </c>
    </row>
  </sheetData>
  <autoFilter ref="A3:M161" xr:uid="{00000000-0009-0000-0000-000003000000}">
    <filterColumn colId="10">
      <filters blank="1">
        <filter val="Key Worker 1"/>
        <filter val="Key Worker 10"/>
        <filter val="Key Worker 11"/>
        <filter val="Key Worker 12"/>
        <filter val="Key Worker 2"/>
        <filter val="Key Worker 3"/>
        <filter val="Key Worker 4"/>
        <filter val="Key Worker 5"/>
        <filter val="Key Worker 6"/>
        <filter val="Key Worker 7"/>
        <filter val="Key Worker 8"/>
        <filter val="Key Worker 9"/>
      </filters>
    </filterColumn>
  </autoFilter>
  <mergeCells count="2">
    <mergeCell ref="A1:P1"/>
    <mergeCell ref="A2:P2"/>
  </mergeCells>
  <phoneticPr fontId="11" type="noConversion"/>
  <conditionalFormatting sqref="I4:I161">
    <cfRule type="colorScale" priority="6">
      <colorScale>
        <cfvo type="num" val="0"/>
        <cfvo type="num" val="30"/>
        <cfvo type="num" val="90"/>
        <color rgb="FFE24B4A"/>
        <color rgb="FFEF9F27"/>
        <color rgb="FF1D9E75"/>
      </colorScale>
    </cfRule>
  </conditionalFormatting>
  <conditionalFormatting sqref="J4:J161">
    <cfRule type="expression" dxfId="7" priority="2">
      <formula>J4="OVERDUE"</formula>
    </cfRule>
    <cfRule type="expression" dxfId="6" priority="3">
      <formula>J4="Expires in 14 days"</formula>
    </cfRule>
    <cfRule type="expression" dxfId="5" priority="4">
      <formula>J4="Due within 30 days"</formula>
    </cfRule>
    <cfRule type="expression" dxfId="4" priority="5">
      <formula>J4="On track"</formula>
    </cfRule>
  </conditionalFormatting>
  <dataValidations count="2">
    <dataValidation type="list" sqref="E4:E158" xr:uid="{00000000-0002-0000-0300-000000000000}">
      <formula1>"Person-centred plan,Risk assessment,Health action plan,Behaviour support plan,Manual handling plan,DNACPR,Other"</formula1>
      <formula2>0</formula2>
    </dataValidation>
    <dataValidation type="list" sqref="L4:L158" xr:uid="{00000000-0002-0000-0300-000001000000}">
      <formula1>"Yes,No,In progress"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24B4A"/>
  </sheetPr>
  <dimension ref="A1:P202"/>
  <sheetViews>
    <sheetView zoomScaleNormal="100" workbookViewId="0">
      <pane ySplit="3" topLeftCell="A4" activePane="bottomLeft" state="frozen"/>
      <selection pane="bottomLeft" activeCell="B4" sqref="B4"/>
    </sheetView>
  </sheetViews>
  <sheetFormatPr defaultColWidth="8.6328125" defaultRowHeight="14.5" x14ac:dyDescent="0.35"/>
  <cols>
    <col min="1" max="2" width="10" customWidth="1"/>
    <col min="3" max="3" width="17.1796875" bestFit="1" customWidth="1"/>
    <col min="4" max="4" width="10" customWidth="1"/>
    <col min="5" max="7" width="14" customWidth="1"/>
    <col min="8" max="8" width="16" customWidth="1"/>
    <col min="9" max="10" width="22" customWidth="1"/>
    <col min="11" max="11" width="24" customWidth="1"/>
    <col min="12" max="12" width="16" customWidth="1"/>
    <col min="13" max="13" width="26" customWidth="1"/>
  </cols>
  <sheetData>
    <row r="1" spans="1:16" ht="27.75" customHeight="1" x14ac:dyDescent="0.35">
      <c r="A1" s="40" t="s">
        <v>106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16" ht="18" customHeight="1" x14ac:dyDescent="0.35">
      <c r="A2" s="38" t="s">
        <v>107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spans="1:16" ht="28" x14ac:dyDescent="0.35">
      <c r="A3" s="6" t="s">
        <v>85</v>
      </c>
      <c r="B3" s="6" t="s">
        <v>20</v>
      </c>
      <c r="C3" s="6" t="s">
        <v>62</v>
      </c>
      <c r="D3" s="6" t="s">
        <v>22</v>
      </c>
      <c r="E3" s="6" t="s">
        <v>108</v>
      </c>
      <c r="F3" s="6" t="s">
        <v>109</v>
      </c>
      <c r="G3" s="6" t="s">
        <v>110</v>
      </c>
      <c r="H3" s="6" t="s">
        <v>111</v>
      </c>
      <c r="I3" s="6" t="s">
        <v>112</v>
      </c>
      <c r="J3" s="6" t="s">
        <v>113</v>
      </c>
      <c r="K3" s="6" t="s">
        <v>114</v>
      </c>
      <c r="L3" s="6" t="s">
        <v>115</v>
      </c>
      <c r="M3" s="6" t="s">
        <v>72</v>
      </c>
    </row>
    <row r="4" spans="1:16" x14ac:dyDescent="0.35">
      <c r="A4" s="7" t="s">
        <v>116</v>
      </c>
      <c r="B4" s="7" t="s">
        <v>73</v>
      </c>
      <c r="C4" s="7" t="str">
        <f>IFERROR(INDEX(Clients!B:B,MATCH(B4,Clients!A:A,0)),"")</f>
        <v xml:space="preserve">Burton Albert Grant </v>
      </c>
      <c r="D4" s="7" t="s">
        <v>50</v>
      </c>
      <c r="E4" s="8">
        <v>46054</v>
      </c>
      <c r="F4" s="8">
        <v>46063</v>
      </c>
      <c r="G4" s="8">
        <v>46428</v>
      </c>
      <c r="H4" s="16">
        <f t="shared" ref="H4:H34" ca="1" si="0">IFERROR(IF(G4="","",G4-TODAY()),"")</f>
        <v>283</v>
      </c>
      <c r="I4" s="13" t="str">
        <f t="shared" ref="I4:I34" ca="1" si="1">IFERROR(IF(G4="","Not yet granted",IF(G4&lt;TODAY(),"EXPIRED",IF(G4-TODAY()&lt;=14,"Expires in 14 days",IF(G4-TODAY()&lt;=30,"Review within 30 days","Active")))),"Not yet granted")</f>
        <v>Active</v>
      </c>
      <c r="J4" s="7" t="s">
        <v>311</v>
      </c>
      <c r="K4" s="9" t="s">
        <v>119</v>
      </c>
      <c r="L4" s="7" t="s">
        <v>54</v>
      </c>
      <c r="M4" s="7" t="s">
        <v>117</v>
      </c>
    </row>
    <row r="5" spans="1:16" x14ac:dyDescent="0.35">
      <c r="A5" s="9" t="s">
        <v>118</v>
      </c>
      <c r="B5" s="9" t="s">
        <v>77</v>
      </c>
      <c r="C5" s="29" t="s">
        <v>192</v>
      </c>
      <c r="D5" s="7" t="s">
        <v>50</v>
      </c>
      <c r="E5" s="8">
        <v>46055</v>
      </c>
      <c r="F5" s="10">
        <v>46065</v>
      </c>
      <c r="G5" s="10">
        <v>46430</v>
      </c>
      <c r="H5" s="17">
        <f t="shared" ca="1" si="0"/>
        <v>285</v>
      </c>
      <c r="I5" s="14" t="str">
        <f t="shared" ca="1" si="1"/>
        <v>Active</v>
      </c>
      <c r="J5" s="7" t="s">
        <v>311</v>
      </c>
      <c r="K5" s="9" t="s">
        <v>119</v>
      </c>
      <c r="L5" s="9" t="s">
        <v>54</v>
      </c>
      <c r="M5" s="7" t="s">
        <v>117</v>
      </c>
    </row>
    <row r="6" spans="1:16" x14ac:dyDescent="0.35">
      <c r="H6" s="18" t="str">
        <f t="shared" ca="1" si="0"/>
        <v/>
      </c>
      <c r="I6" s="15" t="str">
        <f t="shared" ca="1" si="1"/>
        <v>Not yet granted</v>
      </c>
    </row>
    <row r="7" spans="1:16" x14ac:dyDescent="0.35">
      <c r="H7" s="18" t="str">
        <f t="shared" ca="1" si="0"/>
        <v/>
      </c>
      <c r="I7" s="15" t="str">
        <f t="shared" ca="1" si="1"/>
        <v>Not yet granted</v>
      </c>
    </row>
    <row r="8" spans="1:16" x14ac:dyDescent="0.35">
      <c r="H8" s="18" t="str">
        <f t="shared" ca="1" si="0"/>
        <v/>
      </c>
      <c r="I8" s="15" t="str">
        <f t="shared" ca="1" si="1"/>
        <v>Not yet granted</v>
      </c>
    </row>
    <row r="9" spans="1:16" x14ac:dyDescent="0.35">
      <c r="H9" s="18" t="str">
        <f t="shared" ca="1" si="0"/>
        <v/>
      </c>
      <c r="I9" s="15" t="str">
        <f t="shared" ca="1" si="1"/>
        <v>Not yet granted</v>
      </c>
    </row>
    <row r="10" spans="1:16" x14ac:dyDescent="0.35">
      <c r="H10" s="18" t="str">
        <f t="shared" ca="1" si="0"/>
        <v/>
      </c>
      <c r="I10" s="15" t="str">
        <f t="shared" ca="1" si="1"/>
        <v>Not yet granted</v>
      </c>
    </row>
    <row r="11" spans="1:16" x14ac:dyDescent="0.35">
      <c r="H11" s="18" t="str">
        <f t="shared" ca="1" si="0"/>
        <v/>
      </c>
      <c r="I11" s="15" t="str">
        <f t="shared" ca="1" si="1"/>
        <v>Not yet granted</v>
      </c>
    </row>
    <row r="12" spans="1:16" x14ac:dyDescent="0.35">
      <c r="H12" s="18" t="str">
        <f t="shared" ca="1" si="0"/>
        <v/>
      </c>
      <c r="I12" s="15" t="str">
        <f t="shared" ca="1" si="1"/>
        <v>Not yet granted</v>
      </c>
    </row>
    <row r="13" spans="1:16" x14ac:dyDescent="0.35">
      <c r="H13" s="18" t="str">
        <f t="shared" ca="1" si="0"/>
        <v/>
      </c>
      <c r="I13" s="15" t="str">
        <f t="shared" ca="1" si="1"/>
        <v>Not yet granted</v>
      </c>
    </row>
    <row r="14" spans="1:16" x14ac:dyDescent="0.35">
      <c r="H14" s="18" t="str">
        <f t="shared" ca="1" si="0"/>
        <v/>
      </c>
      <c r="I14" s="15" t="str">
        <f t="shared" ca="1" si="1"/>
        <v>Not yet granted</v>
      </c>
    </row>
    <row r="15" spans="1:16" x14ac:dyDescent="0.35">
      <c r="H15" s="18" t="str">
        <f t="shared" ca="1" si="0"/>
        <v/>
      </c>
      <c r="I15" s="15" t="str">
        <f t="shared" ca="1" si="1"/>
        <v>Not yet granted</v>
      </c>
    </row>
    <row r="16" spans="1:16" x14ac:dyDescent="0.35">
      <c r="H16" s="18" t="str">
        <f t="shared" ca="1" si="0"/>
        <v/>
      </c>
      <c r="I16" s="15" t="str">
        <f t="shared" ca="1" si="1"/>
        <v>Not yet granted</v>
      </c>
    </row>
    <row r="17" spans="8:9" x14ac:dyDescent="0.35">
      <c r="H17" s="18" t="str">
        <f t="shared" ca="1" si="0"/>
        <v/>
      </c>
      <c r="I17" s="15" t="str">
        <f t="shared" ca="1" si="1"/>
        <v>Not yet granted</v>
      </c>
    </row>
    <row r="18" spans="8:9" x14ac:dyDescent="0.35">
      <c r="H18" s="18" t="str">
        <f t="shared" ca="1" si="0"/>
        <v/>
      </c>
      <c r="I18" s="15" t="str">
        <f t="shared" ca="1" si="1"/>
        <v>Not yet granted</v>
      </c>
    </row>
    <row r="19" spans="8:9" x14ac:dyDescent="0.35">
      <c r="H19" s="18" t="str">
        <f t="shared" ca="1" si="0"/>
        <v/>
      </c>
      <c r="I19" s="15" t="str">
        <f t="shared" ca="1" si="1"/>
        <v>Not yet granted</v>
      </c>
    </row>
    <row r="20" spans="8:9" x14ac:dyDescent="0.35">
      <c r="H20" s="18" t="str">
        <f t="shared" ca="1" si="0"/>
        <v/>
      </c>
      <c r="I20" s="15" t="str">
        <f t="shared" ca="1" si="1"/>
        <v>Not yet granted</v>
      </c>
    </row>
    <row r="21" spans="8:9" x14ac:dyDescent="0.35">
      <c r="H21" s="18" t="str">
        <f t="shared" ca="1" si="0"/>
        <v/>
      </c>
      <c r="I21" s="15" t="str">
        <f t="shared" ca="1" si="1"/>
        <v>Not yet granted</v>
      </c>
    </row>
    <row r="22" spans="8:9" x14ac:dyDescent="0.35">
      <c r="H22" s="18" t="str">
        <f t="shared" ca="1" si="0"/>
        <v/>
      </c>
      <c r="I22" s="15" t="str">
        <f t="shared" ca="1" si="1"/>
        <v>Not yet granted</v>
      </c>
    </row>
    <row r="23" spans="8:9" x14ac:dyDescent="0.35">
      <c r="H23" s="18" t="str">
        <f t="shared" ca="1" si="0"/>
        <v/>
      </c>
      <c r="I23" s="15" t="str">
        <f t="shared" ca="1" si="1"/>
        <v>Not yet granted</v>
      </c>
    </row>
    <row r="24" spans="8:9" x14ac:dyDescent="0.35">
      <c r="H24" s="18" t="str">
        <f t="shared" ca="1" si="0"/>
        <v/>
      </c>
      <c r="I24" s="15" t="str">
        <f t="shared" ca="1" si="1"/>
        <v>Not yet granted</v>
      </c>
    </row>
    <row r="25" spans="8:9" x14ac:dyDescent="0.35">
      <c r="H25" s="18" t="str">
        <f t="shared" ca="1" si="0"/>
        <v/>
      </c>
      <c r="I25" s="15" t="str">
        <f t="shared" ca="1" si="1"/>
        <v>Not yet granted</v>
      </c>
    </row>
    <row r="26" spans="8:9" x14ac:dyDescent="0.35">
      <c r="H26" s="18" t="str">
        <f t="shared" ca="1" si="0"/>
        <v/>
      </c>
      <c r="I26" s="15" t="str">
        <f t="shared" ca="1" si="1"/>
        <v>Not yet granted</v>
      </c>
    </row>
    <row r="27" spans="8:9" x14ac:dyDescent="0.35">
      <c r="H27" s="18" t="str">
        <f t="shared" ca="1" si="0"/>
        <v/>
      </c>
      <c r="I27" s="15" t="str">
        <f t="shared" ca="1" si="1"/>
        <v>Not yet granted</v>
      </c>
    </row>
    <row r="28" spans="8:9" x14ac:dyDescent="0.35">
      <c r="H28" s="18" t="str">
        <f t="shared" ca="1" si="0"/>
        <v/>
      </c>
      <c r="I28" s="15" t="str">
        <f t="shared" ca="1" si="1"/>
        <v>Not yet granted</v>
      </c>
    </row>
    <row r="29" spans="8:9" x14ac:dyDescent="0.35">
      <c r="H29" s="18" t="str">
        <f t="shared" ca="1" si="0"/>
        <v/>
      </c>
      <c r="I29" s="15" t="str">
        <f t="shared" ca="1" si="1"/>
        <v>Not yet granted</v>
      </c>
    </row>
    <row r="30" spans="8:9" x14ac:dyDescent="0.35">
      <c r="H30" s="18" t="str">
        <f t="shared" ca="1" si="0"/>
        <v/>
      </c>
      <c r="I30" s="15" t="str">
        <f t="shared" ca="1" si="1"/>
        <v>Not yet granted</v>
      </c>
    </row>
    <row r="31" spans="8:9" x14ac:dyDescent="0.35">
      <c r="H31" s="18" t="str">
        <f t="shared" ca="1" si="0"/>
        <v/>
      </c>
      <c r="I31" s="15" t="str">
        <f t="shared" ca="1" si="1"/>
        <v>Not yet granted</v>
      </c>
    </row>
    <row r="32" spans="8:9" x14ac:dyDescent="0.35">
      <c r="H32" s="18" t="str">
        <f t="shared" ca="1" si="0"/>
        <v/>
      </c>
      <c r="I32" s="15" t="str">
        <f t="shared" ca="1" si="1"/>
        <v>Not yet granted</v>
      </c>
    </row>
    <row r="33" spans="8:9" x14ac:dyDescent="0.35">
      <c r="H33" s="18" t="str">
        <f t="shared" ca="1" si="0"/>
        <v/>
      </c>
      <c r="I33" s="15" t="str">
        <f t="shared" ca="1" si="1"/>
        <v>Not yet granted</v>
      </c>
    </row>
    <row r="34" spans="8:9" x14ac:dyDescent="0.35">
      <c r="H34" s="18" t="str">
        <f t="shared" ca="1" si="0"/>
        <v/>
      </c>
      <c r="I34" s="15" t="str">
        <f t="shared" ca="1" si="1"/>
        <v>Not yet granted</v>
      </c>
    </row>
    <row r="35" spans="8:9" x14ac:dyDescent="0.35">
      <c r="H35" s="18" t="str">
        <f t="shared" ref="H35:H66" ca="1" si="2">IFERROR(IF(G35="","",G35-TODAY()),"")</f>
        <v/>
      </c>
      <c r="I35" s="15" t="str">
        <f t="shared" ref="I35:I66" ca="1" si="3">IFERROR(IF(G35="","Not yet granted",IF(G35&lt;TODAY(),"EXPIRED",IF(G35-TODAY()&lt;=14,"Expires in 14 days",IF(G35-TODAY()&lt;=30,"Review within 30 days","Active")))),"Not yet granted")</f>
        <v>Not yet granted</v>
      </c>
    </row>
    <row r="36" spans="8:9" x14ac:dyDescent="0.35">
      <c r="H36" s="18" t="str">
        <f t="shared" ca="1" si="2"/>
        <v/>
      </c>
      <c r="I36" s="15" t="str">
        <f t="shared" ca="1" si="3"/>
        <v>Not yet granted</v>
      </c>
    </row>
    <row r="37" spans="8:9" x14ac:dyDescent="0.35">
      <c r="H37" s="18" t="str">
        <f t="shared" ca="1" si="2"/>
        <v/>
      </c>
      <c r="I37" s="15" t="str">
        <f t="shared" ca="1" si="3"/>
        <v>Not yet granted</v>
      </c>
    </row>
    <row r="38" spans="8:9" x14ac:dyDescent="0.35">
      <c r="H38" s="18" t="str">
        <f t="shared" ca="1" si="2"/>
        <v/>
      </c>
      <c r="I38" s="15" t="str">
        <f t="shared" ca="1" si="3"/>
        <v>Not yet granted</v>
      </c>
    </row>
    <row r="39" spans="8:9" x14ac:dyDescent="0.35">
      <c r="H39" s="18" t="str">
        <f t="shared" ca="1" si="2"/>
        <v/>
      </c>
      <c r="I39" s="15" t="str">
        <f t="shared" ca="1" si="3"/>
        <v>Not yet granted</v>
      </c>
    </row>
    <row r="40" spans="8:9" x14ac:dyDescent="0.35">
      <c r="H40" s="18" t="str">
        <f t="shared" ca="1" si="2"/>
        <v/>
      </c>
      <c r="I40" s="15" t="str">
        <f t="shared" ca="1" si="3"/>
        <v>Not yet granted</v>
      </c>
    </row>
    <row r="41" spans="8:9" x14ac:dyDescent="0.35">
      <c r="H41" s="18" t="str">
        <f t="shared" ca="1" si="2"/>
        <v/>
      </c>
      <c r="I41" s="15" t="str">
        <f t="shared" ca="1" si="3"/>
        <v>Not yet granted</v>
      </c>
    </row>
    <row r="42" spans="8:9" x14ac:dyDescent="0.35">
      <c r="H42" s="18" t="str">
        <f t="shared" ca="1" si="2"/>
        <v/>
      </c>
      <c r="I42" s="15" t="str">
        <f t="shared" ca="1" si="3"/>
        <v>Not yet granted</v>
      </c>
    </row>
    <row r="43" spans="8:9" x14ac:dyDescent="0.35">
      <c r="H43" s="18" t="str">
        <f t="shared" ca="1" si="2"/>
        <v/>
      </c>
      <c r="I43" s="15" t="str">
        <f t="shared" ca="1" si="3"/>
        <v>Not yet granted</v>
      </c>
    </row>
    <row r="44" spans="8:9" x14ac:dyDescent="0.35">
      <c r="H44" s="18" t="str">
        <f t="shared" ca="1" si="2"/>
        <v/>
      </c>
      <c r="I44" s="15" t="str">
        <f t="shared" ca="1" si="3"/>
        <v>Not yet granted</v>
      </c>
    </row>
    <row r="45" spans="8:9" x14ac:dyDescent="0.35">
      <c r="H45" s="18" t="str">
        <f t="shared" ca="1" si="2"/>
        <v/>
      </c>
      <c r="I45" s="15" t="str">
        <f t="shared" ca="1" si="3"/>
        <v>Not yet granted</v>
      </c>
    </row>
    <row r="46" spans="8:9" x14ac:dyDescent="0.35">
      <c r="H46" s="18" t="str">
        <f t="shared" ca="1" si="2"/>
        <v/>
      </c>
      <c r="I46" s="15" t="str">
        <f t="shared" ca="1" si="3"/>
        <v>Not yet granted</v>
      </c>
    </row>
    <row r="47" spans="8:9" x14ac:dyDescent="0.35">
      <c r="H47" s="18" t="str">
        <f t="shared" ca="1" si="2"/>
        <v/>
      </c>
      <c r="I47" s="15" t="str">
        <f t="shared" ca="1" si="3"/>
        <v>Not yet granted</v>
      </c>
    </row>
    <row r="48" spans="8:9" x14ac:dyDescent="0.35">
      <c r="H48" s="18" t="str">
        <f t="shared" ca="1" si="2"/>
        <v/>
      </c>
      <c r="I48" s="15" t="str">
        <f t="shared" ca="1" si="3"/>
        <v>Not yet granted</v>
      </c>
    </row>
    <row r="49" spans="8:9" x14ac:dyDescent="0.35">
      <c r="H49" s="18" t="str">
        <f t="shared" ca="1" si="2"/>
        <v/>
      </c>
      <c r="I49" s="15" t="str">
        <f t="shared" ca="1" si="3"/>
        <v>Not yet granted</v>
      </c>
    </row>
    <row r="50" spans="8:9" x14ac:dyDescent="0.35">
      <c r="H50" s="18" t="str">
        <f t="shared" ca="1" si="2"/>
        <v/>
      </c>
      <c r="I50" s="15" t="str">
        <f t="shared" ca="1" si="3"/>
        <v>Not yet granted</v>
      </c>
    </row>
    <row r="51" spans="8:9" x14ac:dyDescent="0.35">
      <c r="H51" s="18" t="str">
        <f t="shared" ca="1" si="2"/>
        <v/>
      </c>
      <c r="I51" s="15" t="str">
        <f t="shared" ca="1" si="3"/>
        <v>Not yet granted</v>
      </c>
    </row>
    <row r="52" spans="8:9" x14ac:dyDescent="0.35">
      <c r="H52" s="18" t="str">
        <f t="shared" ca="1" si="2"/>
        <v/>
      </c>
      <c r="I52" s="15" t="str">
        <f t="shared" ca="1" si="3"/>
        <v>Not yet granted</v>
      </c>
    </row>
    <row r="53" spans="8:9" x14ac:dyDescent="0.35">
      <c r="H53" s="18" t="str">
        <f t="shared" ca="1" si="2"/>
        <v/>
      </c>
      <c r="I53" s="15" t="str">
        <f t="shared" ca="1" si="3"/>
        <v>Not yet granted</v>
      </c>
    </row>
    <row r="54" spans="8:9" x14ac:dyDescent="0.35">
      <c r="H54" s="18" t="str">
        <f t="shared" ca="1" si="2"/>
        <v/>
      </c>
      <c r="I54" s="15" t="str">
        <f t="shared" ca="1" si="3"/>
        <v>Not yet granted</v>
      </c>
    </row>
    <row r="55" spans="8:9" x14ac:dyDescent="0.35">
      <c r="H55" s="18" t="str">
        <f t="shared" ca="1" si="2"/>
        <v/>
      </c>
      <c r="I55" s="15" t="str">
        <f t="shared" ca="1" si="3"/>
        <v>Not yet granted</v>
      </c>
    </row>
    <row r="56" spans="8:9" x14ac:dyDescent="0.35">
      <c r="H56" s="18" t="str">
        <f t="shared" ca="1" si="2"/>
        <v/>
      </c>
      <c r="I56" s="15" t="str">
        <f t="shared" ca="1" si="3"/>
        <v>Not yet granted</v>
      </c>
    </row>
    <row r="57" spans="8:9" x14ac:dyDescent="0.35">
      <c r="H57" s="18" t="str">
        <f t="shared" ca="1" si="2"/>
        <v/>
      </c>
      <c r="I57" s="15" t="str">
        <f t="shared" ca="1" si="3"/>
        <v>Not yet granted</v>
      </c>
    </row>
    <row r="58" spans="8:9" x14ac:dyDescent="0.35">
      <c r="H58" s="18" t="str">
        <f t="shared" ca="1" si="2"/>
        <v/>
      </c>
      <c r="I58" s="15" t="str">
        <f t="shared" ca="1" si="3"/>
        <v>Not yet granted</v>
      </c>
    </row>
    <row r="59" spans="8:9" x14ac:dyDescent="0.35">
      <c r="H59" s="18" t="str">
        <f t="shared" ca="1" si="2"/>
        <v/>
      </c>
      <c r="I59" s="15" t="str">
        <f t="shared" ca="1" si="3"/>
        <v>Not yet granted</v>
      </c>
    </row>
    <row r="60" spans="8:9" x14ac:dyDescent="0.35">
      <c r="H60" s="18" t="str">
        <f t="shared" ca="1" si="2"/>
        <v/>
      </c>
      <c r="I60" s="15" t="str">
        <f t="shared" ca="1" si="3"/>
        <v>Not yet granted</v>
      </c>
    </row>
    <row r="61" spans="8:9" x14ac:dyDescent="0.35">
      <c r="H61" s="18" t="str">
        <f t="shared" ca="1" si="2"/>
        <v/>
      </c>
      <c r="I61" s="15" t="str">
        <f t="shared" ca="1" si="3"/>
        <v>Not yet granted</v>
      </c>
    </row>
    <row r="62" spans="8:9" x14ac:dyDescent="0.35">
      <c r="H62" s="18" t="str">
        <f t="shared" ca="1" si="2"/>
        <v/>
      </c>
      <c r="I62" s="15" t="str">
        <f t="shared" ca="1" si="3"/>
        <v>Not yet granted</v>
      </c>
    </row>
    <row r="63" spans="8:9" x14ac:dyDescent="0.35">
      <c r="H63" s="18" t="str">
        <f t="shared" ca="1" si="2"/>
        <v/>
      </c>
      <c r="I63" s="15" t="str">
        <f t="shared" ca="1" si="3"/>
        <v>Not yet granted</v>
      </c>
    </row>
    <row r="64" spans="8:9" x14ac:dyDescent="0.35">
      <c r="H64" s="18" t="str">
        <f t="shared" ca="1" si="2"/>
        <v/>
      </c>
      <c r="I64" s="15" t="str">
        <f t="shared" ca="1" si="3"/>
        <v>Not yet granted</v>
      </c>
    </row>
    <row r="65" spans="8:9" x14ac:dyDescent="0.35">
      <c r="H65" s="18" t="str">
        <f t="shared" ca="1" si="2"/>
        <v/>
      </c>
      <c r="I65" s="15" t="str">
        <f t="shared" ca="1" si="3"/>
        <v>Not yet granted</v>
      </c>
    </row>
    <row r="66" spans="8:9" x14ac:dyDescent="0.35">
      <c r="H66" s="18" t="str">
        <f t="shared" ca="1" si="2"/>
        <v/>
      </c>
      <c r="I66" s="15" t="str">
        <f t="shared" ca="1" si="3"/>
        <v>Not yet granted</v>
      </c>
    </row>
    <row r="67" spans="8:9" x14ac:dyDescent="0.35">
      <c r="H67" s="18" t="str">
        <f t="shared" ref="H67:H98" ca="1" si="4">IFERROR(IF(G67="","",G67-TODAY()),"")</f>
        <v/>
      </c>
      <c r="I67" s="15" t="str">
        <f t="shared" ref="I67:I98" ca="1" si="5">IFERROR(IF(G67="","Not yet granted",IF(G67&lt;TODAY(),"EXPIRED",IF(G67-TODAY()&lt;=14,"Expires in 14 days",IF(G67-TODAY()&lt;=30,"Review within 30 days","Active")))),"Not yet granted")</f>
        <v>Not yet granted</v>
      </c>
    </row>
    <row r="68" spans="8:9" x14ac:dyDescent="0.35">
      <c r="H68" s="18" t="str">
        <f t="shared" ca="1" si="4"/>
        <v/>
      </c>
      <c r="I68" s="15" t="str">
        <f t="shared" ca="1" si="5"/>
        <v>Not yet granted</v>
      </c>
    </row>
    <row r="69" spans="8:9" x14ac:dyDescent="0.35">
      <c r="H69" s="18" t="str">
        <f t="shared" ca="1" si="4"/>
        <v/>
      </c>
      <c r="I69" s="15" t="str">
        <f t="shared" ca="1" si="5"/>
        <v>Not yet granted</v>
      </c>
    </row>
    <row r="70" spans="8:9" x14ac:dyDescent="0.35">
      <c r="H70" s="18" t="str">
        <f t="shared" ca="1" si="4"/>
        <v/>
      </c>
      <c r="I70" s="15" t="str">
        <f t="shared" ca="1" si="5"/>
        <v>Not yet granted</v>
      </c>
    </row>
    <row r="71" spans="8:9" x14ac:dyDescent="0.35">
      <c r="H71" s="18" t="str">
        <f t="shared" ca="1" si="4"/>
        <v/>
      </c>
      <c r="I71" s="15" t="str">
        <f t="shared" ca="1" si="5"/>
        <v>Not yet granted</v>
      </c>
    </row>
    <row r="72" spans="8:9" x14ac:dyDescent="0.35">
      <c r="H72" s="18" t="str">
        <f t="shared" ca="1" si="4"/>
        <v/>
      </c>
      <c r="I72" s="15" t="str">
        <f t="shared" ca="1" si="5"/>
        <v>Not yet granted</v>
      </c>
    </row>
    <row r="73" spans="8:9" x14ac:dyDescent="0.35">
      <c r="H73" s="18" t="str">
        <f t="shared" ca="1" si="4"/>
        <v/>
      </c>
      <c r="I73" s="15" t="str">
        <f t="shared" ca="1" si="5"/>
        <v>Not yet granted</v>
      </c>
    </row>
    <row r="74" spans="8:9" x14ac:dyDescent="0.35">
      <c r="H74" s="18" t="str">
        <f t="shared" ca="1" si="4"/>
        <v/>
      </c>
      <c r="I74" s="15" t="str">
        <f t="shared" ca="1" si="5"/>
        <v>Not yet granted</v>
      </c>
    </row>
    <row r="75" spans="8:9" x14ac:dyDescent="0.35">
      <c r="H75" s="18" t="str">
        <f t="shared" ca="1" si="4"/>
        <v/>
      </c>
      <c r="I75" s="15" t="str">
        <f t="shared" ca="1" si="5"/>
        <v>Not yet granted</v>
      </c>
    </row>
    <row r="76" spans="8:9" x14ac:dyDescent="0.35">
      <c r="H76" s="18" t="str">
        <f t="shared" ca="1" si="4"/>
        <v/>
      </c>
      <c r="I76" s="15" t="str">
        <f t="shared" ca="1" si="5"/>
        <v>Not yet granted</v>
      </c>
    </row>
    <row r="77" spans="8:9" x14ac:dyDescent="0.35">
      <c r="H77" s="18" t="str">
        <f t="shared" ca="1" si="4"/>
        <v/>
      </c>
      <c r="I77" s="15" t="str">
        <f t="shared" ca="1" si="5"/>
        <v>Not yet granted</v>
      </c>
    </row>
    <row r="78" spans="8:9" x14ac:dyDescent="0.35">
      <c r="H78" s="18" t="str">
        <f t="shared" ca="1" si="4"/>
        <v/>
      </c>
      <c r="I78" s="15" t="str">
        <f t="shared" ca="1" si="5"/>
        <v>Not yet granted</v>
      </c>
    </row>
    <row r="79" spans="8:9" x14ac:dyDescent="0.35">
      <c r="H79" s="18" t="str">
        <f t="shared" ca="1" si="4"/>
        <v/>
      </c>
      <c r="I79" s="15" t="str">
        <f t="shared" ca="1" si="5"/>
        <v>Not yet granted</v>
      </c>
    </row>
    <row r="80" spans="8:9" x14ac:dyDescent="0.35">
      <c r="H80" s="18" t="str">
        <f t="shared" ca="1" si="4"/>
        <v/>
      </c>
      <c r="I80" s="15" t="str">
        <f t="shared" ca="1" si="5"/>
        <v>Not yet granted</v>
      </c>
    </row>
    <row r="81" spans="8:9" x14ac:dyDescent="0.35">
      <c r="H81" s="18" t="str">
        <f t="shared" ca="1" si="4"/>
        <v/>
      </c>
      <c r="I81" s="15" t="str">
        <f t="shared" ca="1" si="5"/>
        <v>Not yet granted</v>
      </c>
    </row>
    <row r="82" spans="8:9" x14ac:dyDescent="0.35">
      <c r="H82" s="18" t="str">
        <f t="shared" ca="1" si="4"/>
        <v/>
      </c>
      <c r="I82" s="15" t="str">
        <f t="shared" ca="1" si="5"/>
        <v>Not yet granted</v>
      </c>
    </row>
    <row r="83" spans="8:9" x14ac:dyDescent="0.35">
      <c r="H83" s="18" t="str">
        <f t="shared" ca="1" si="4"/>
        <v/>
      </c>
      <c r="I83" s="15" t="str">
        <f t="shared" ca="1" si="5"/>
        <v>Not yet granted</v>
      </c>
    </row>
    <row r="84" spans="8:9" x14ac:dyDescent="0.35">
      <c r="H84" s="18" t="str">
        <f t="shared" ca="1" si="4"/>
        <v/>
      </c>
      <c r="I84" s="15" t="str">
        <f t="shared" ca="1" si="5"/>
        <v>Not yet granted</v>
      </c>
    </row>
    <row r="85" spans="8:9" x14ac:dyDescent="0.35">
      <c r="H85" s="18" t="str">
        <f t="shared" ca="1" si="4"/>
        <v/>
      </c>
      <c r="I85" s="15" t="str">
        <f t="shared" ca="1" si="5"/>
        <v>Not yet granted</v>
      </c>
    </row>
    <row r="86" spans="8:9" x14ac:dyDescent="0.35">
      <c r="H86" s="18" t="str">
        <f t="shared" ca="1" si="4"/>
        <v/>
      </c>
      <c r="I86" s="15" t="str">
        <f t="shared" ca="1" si="5"/>
        <v>Not yet granted</v>
      </c>
    </row>
    <row r="87" spans="8:9" x14ac:dyDescent="0.35">
      <c r="H87" s="18" t="str">
        <f t="shared" ca="1" si="4"/>
        <v/>
      </c>
      <c r="I87" s="15" t="str">
        <f t="shared" ca="1" si="5"/>
        <v>Not yet granted</v>
      </c>
    </row>
    <row r="88" spans="8:9" x14ac:dyDescent="0.35">
      <c r="H88" s="18" t="str">
        <f t="shared" ca="1" si="4"/>
        <v/>
      </c>
      <c r="I88" s="15" t="str">
        <f t="shared" ca="1" si="5"/>
        <v>Not yet granted</v>
      </c>
    </row>
    <row r="89" spans="8:9" x14ac:dyDescent="0.35">
      <c r="H89" s="18" t="str">
        <f t="shared" ca="1" si="4"/>
        <v/>
      </c>
      <c r="I89" s="15" t="str">
        <f t="shared" ca="1" si="5"/>
        <v>Not yet granted</v>
      </c>
    </row>
    <row r="90" spans="8:9" x14ac:dyDescent="0.35">
      <c r="H90" s="18" t="str">
        <f t="shared" ca="1" si="4"/>
        <v/>
      </c>
      <c r="I90" s="15" t="str">
        <f t="shared" ca="1" si="5"/>
        <v>Not yet granted</v>
      </c>
    </row>
    <row r="91" spans="8:9" x14ac:dyDescent="0.35">
      <c r="H91" s="18" t="str">
        <f t="shared" ca="1" si="4"/>
        <v/>
      </c>
      <c r="I91" s="15" t="str">
        <f t="shared" ca="1" si="5"/>
        <v>Not yet granted</v>
      </c>
    </row>
    <row r="92" spans="8:9" x14ac:dyDescent="0.35">
      <c r="H92" s="18" t="str">
        <f t="shared" ca="1" si="4"/>
        <v/>
      </c>
      <c r="I92" s="15" t="str">
        <f t="shared" ca="1" si="5"/>
        <v>Not yet granted</v>
      </c>
    </row>
    <row r="93" spans="8:9" x14ac:dyDescent="0.35">
      <c r="H93" s="18" t="str">
        <f t="shared" ca="1" si="4"/>
        <v/>
      </c>
      <c r="I93" s="15" t="str">
        <f t="shared" ca="1" si="5"/>
        <v>Not yet granted</v>
      </c>
    </row>
    <row r="94" spans="8:9" x14ac:dyDescent="0.35">
      <c r="H94" s="18" t="str">
        <f t="shared" ca="1" si="4"/>
        <v/>
      </c>
      <c r="I94" s="15" t="str">
        <f t="shared" ca="1" si="5"/>
        <v>Not yet granted</v>
      </c>
    </row>
    <row r="95" spans="8:9" x14ac:dyDescent="0.35">
      <c r="H95" s="18" t="str">
        <f t="shared" ca="1" si="4"/>
        <v/>
      </c>
      <c r="I95" s="15" t="str">
        <f t="shared" ca="1" si="5"/>
        <v>Not yet granted</v>
      </c>
    </row>
    <row r="96" spans="8:9" x14ac:dyDescent="0.35">
      <c r="H96" s="18" t="str">
        <f t="shared" ca="1" si="4"/>
        <v/>
      </c>
      <c r="I96" s="15" t="str">
        <f t="shared" ca="1" si="5"/>
        <v>Not yet granted</v>
      </c>
    </row>
    <row r="97" spans="8:9" x14ac:dyDescent="0.35">
      <c r="H97" s="18" t="str">
        <f t="shared" ca="1" si="4"/>
        <v/>
      </c>
      <c r="I97" s="15" t="str">
        <f t="shared" ca="1" si="5"/>
        <v>Not yet granted</v>
      </c>
    </row>
    <row r="98" spans="8:9" x14ac:dyDescent="0.35">
      <c r="H98" s="18" t="str">
        <f t="shared" ca="1" si="4"/>
        <v/>
      </c>
      <c r="I98" s="15" t="str">
        <f t="shared" ca="1" si="5"/>
        <v>Not yet granted</v>
      </c>
    </row>
    <row r="99" spans="8:9" x14ac:dyDescent="0.35">
      <c r="H99" s="18" t="str">
        <f t="shared" ref="H99:H130" ca="1" si="6">IFERROR(IF(G99="","",G99-TODAY()),"")</f>
        <v/>
      </c>
      <c r="I99" s="15" t="str">
        <f t="shared" ref="I99:I130" ca="1" si="7">IFERROR(IF(G99="","Not yet granted",IF(G99&lt;TODAY(),"EXPIRED",IF(G99-TODAY()&lt;=14,"Expires in 14 days",IF(G99-TODAY()&lt;=30,"Review within 30 days","Active")))),"Not yet granted")</f>
        <v>Not yet granted</v>
      </c>
    </row>
    <row r="100" spans="8:9" x14ac:dyDescent="0.35">
      <c r="H100" s="18" t="str">
        <f t="shared" ca="1" si="6"/>
        <v/>
      </c>
      <c r="I100" s="15" t="str">
        <f t="shared" ca="1" si="7"/>
        <v>Not yet granted</v>
      </c>
    </row>
    <row r="101" spans="8:9" x14ac:dyDescent="0.35">
      <c r="H101" s="18" t="str">
        <f t="shared" ca="1" si="6"/>
        <v/>
      </c>
      <c r="I101" s="15" t="str">
        <f t="shared" ca="1" si="7"/>
        <v>Not yet granted</v>
      </c>
    </row>
    <row r="102" spans="8:9" x14ac:dyDescent="0.35">
      <c r="H102" s="18" t="str">
        <f t="shared" ca="1" si="6"/>
        <v/>
      </c>
      <c r="I102" s="15" t="str">
        <f t="shared" ca="1" si="7"/>
        <v>Not yet granted</v>
      </c>
    </row>
    <row r="103" spans="8:9" x14ac:dyDescent="0.35">
      <c r="H103" s="18" t="str">
        <f t="shared" ca="1" si="6"/>
        <v/>
      </c>
      <c r="I103" s="15" t="str">
        <f t="shared" ca="1" si="7"/>
        <v>Not yet granted</v>
      </c>
    </row>
    <row r="104" spans="8:9" x14ac:dyDescent="0.35">
      <c r="H104" s="18" t="str">
        <f t="shared" ca="1" si="6"/>
        <v/>
      </c>
      <c r="I104" s="15" t="str">
        <f t="shared" ca="1" si="7"/>
        <v>Not yet granted</v>
      </c>
    </row>
    <row r="105" spans="8:9" x14ac:dyDescent="0.35">
      <c r="H105" s="18" t="str">
        <f t="shared" ca="1" si="6"/>
        <v/>
      </c>
      <c r="I105" s="15" t="str">
        <f t="shared" ca="1" si="7"/>
        <v>Not yet granted</v>
      </c>
    </row>
    <row r="106" spans="8:9" x14ac:dyDescent="0.35">
      <c r="H106" s="18" t="str">
        <f t="shared" ca="1" si="6"/>
        <v/>
      </c>
      <c r="I106" s="15" t="str">
        <f t="shared" ca="1" si="7"/>
        <v>Not yet granted</v>
      </c>
    </row>
    <row r="107" spans="8:9" x14ac:dyDescent="0.35">
      <c r="H107" s="18" t="str">
        <f t="shared" ca="1" si="6"/>
        <v/>
      </c>
      <c r="I107" s="15" t="str">
        <f t="shared" ca="1" si="7"/>
        <v>Not yet granted</v>
      </c>
    </row>
    <row r="108" spans="8:9" x14ac:dyDescent="0.35">
      <c r="H108" s="18" t="str">
        <f t="shared" ca="1" si="6"/>
        <v/>
      </c>
      <c r="I108" s="15" t="str">
        <f t="shared" ca="1" si="7"/>
        <v>Not yet granted</v>
      </c>
    </row>
    <row r="109" spans="8:9" x14ac:dyDescent="0.35">
      <c r="H109" s="18" t="str">
        <f t="shared" ca="1" si="6"/>
        <v/>
      </c>
      <c r="I109" s="15" t="str">
        <f t="shared" ca="1" si="7"/>
        <v>Not yet granted</v>
      </c>
    </row>
    <row r="110" spans="8:9" x14ac:dyDescent="0.35">
      <c r="H110" s="18" t="str">
        <f t="shared" ca="1" si="6"/>
        <v/>
      </c>
      <c r="I110" s="15" t="str">
        <f t="shared" ca="1" si="7"/>
        <v>Not yet granted</v>
      </c>
    </row>
    <row r="111" spans="8:9" x14ac:dyDescent="0.35">
      <c r="H111" s="18" t="str">
        <f t="shared" ca="1" si="6"/>
        <v/>
      </c>
      <c r="I111" s="15" t="str">
        <f t="shared" ca="1" si="7"/>
        <v>Not yet granted</v>
      </c>
    </row>
    <row r="112" spans="8:9" x14ac:dyDescent="0.35">
      <c r="H112" s="18" t="str">
        <f t="shared" ca="1" si="6"/>
        <v/>
      </c>
      <c r="I112" s="15" t="str">
        <f t="shared" ca="1" si="7"/>
        <v>Not yet granted</v>
      </c>
    </row>
    <row r="113" spans="8:9" x14ac:dyDescent="0.35">
      <c r="H113" s="18" t="str">
        <f t="shared" ca="1" si="6"/>
        <v/>
      </c>
      <c r="I113" s="15" t="str">
        <f t="shared" ca="1" si="7"/>
        <v>Not yet granted</v>
      </c>
    </row>
    <row r="114" spans="8:9" x14ac:dyDescent="0.35">
      <c r="H114" s="18" t="str">
        <f t="shared" ca="1" si="6"/>
        <v/>
      </c>
      <c r="I114" s="15" t="str">
        <f t="shared" ca="1" si="7"/>
        <v>Not yet granted</v>
      </c>
    </row>
    <row r="115" spans="8:9" x14ac:dyDescent="0.35">
      <c r="H115" s="18" t="str">
        <f t="shared" ca="1" si="6"/>
        <v/>
      </c>
      <c r="I115" s="15" t="str">
        <f t="shared" ca="1" si="7"/>
        <v>Not yet granted</v>
      </c>
    </row>
    <row r="116" spans="8:9" x14ac:dyDescent="0.35">
      <c r="H116" s="18" t="str">
        <f t="shared" ca="1" si="6"/>
        <v/>
      </c>
      <c r="I116" s="15" t="str">
        <f t="shared" ca="1" si="7"/>
        <v>Not yet granted</v>
      </c>
    </row>
    <row r="117" spans="8:9" x14ac:dyDescent="0.35">
      <c r="H117" s="18" t="str">
        <f t="shared" ca="1" si="6"/>
        <v/>
      </c>
      <c r="I117" s="15" t="str">
        <f t="shared" ca="1" si="7"/>
        <v>Not yet granted</v>
      </c>
    </row>
    <row r="118" spans="8:9" x14ac:dyDescent="0.35">
      <c r="H118" s="18" t="str">
        <f t="shared" ca="1" si="6"/>
        <v/>
      </c>
      <c r="I118" s="15" t="str">
        <f t="shared" ca="1" si="7"/>
        <v>Not yet granted</v>
      </c>
    </row>
    <row r="119" spans="8:9" x14ac:dyDescent="0.35">
      <c r="H119" s="18" t="str">
        <f t="shared" ca="1" si="6"/>
        <v/>
      </c>
      <c r="I119" s="15" t="str">
        <f t="shared" ca="1" si="7"/>
        <v>Not yet granted</v>
      </c>
    </row>
    <row r="120" spans="8:9" x14ac:dyDescent="0.35">
      <c r="H120" s="18" t="str">
        <f t="shared" ca="1" si="6"/>
        <v/>
      </c>
      <c r="I120" s="15" t="str">
        <f t="shared" ca="1" si="7"/>
        <v>Not yet granted</v>
      </c>
    </row>
    <row r="121" spans="8:9" x14ac:dyDescent="0.35">
      <c r="H121" s="18" t="str">
        <f t="shared" ca="1" si="6"/>
        <v/>
      </c>
      <c r="I121" s="15" t="str">
        <f t="shared" ca="1" si="7"/>
        <v>Not yet granted</v>
      </c>
    </row>
    <row r="122" spans="8:9" x14ac:dyDescent="0.35">
      <c r="H122" s="18" t="str">
        <f t="shared" ca="1" si="6"/>
        <v/>
      </c>
      <c r="I122" s="15" t="str">
        <f t="shared" ca="1" si="7"/>
        <v>Not yet granted</v>
      </c>
    </row>
    <row r="123" spans="8:9" x14ac:dyDescent="0.35">
      <c r="H123" s="18" t="str">
        <f t="shared" ca="1" si="6"/>
        <v/>
      </c>
      <c r="I123" s="15" t="str">
        <f t="shared" ca="1" si="7"/>
        <v>Not yet granted</v>
      </c>
    </row>
    <row r="124" spans="8:9" x14ac:dyDescent="0.35">
      <c r="H124" s="18" t="str">
        <f t="shared" ca="1" si="6"/>
        <v/>
      </c>
      <c r="I124" s="15" t="str">
        <f t="shared" ca="1" si="7"/>
        <v>Not yet granted</v>
      </c>
    </row>
    <row r="125" spans="8:9" x14ac:dyDescent="0.35">
      <c r="H125" s="18" t="str">
        <f t="shared" ca="1" si="6"/>
        <v/>
      </c>
      <c r="I125" s="15" t="str">
        <f t="shared" ca="1" si="7"/>
        <v>Not yet granted</v>
      </c>
    </row>
    <row r="126" spans="8:9" x14ac:dyDescent="0.35">
      <c r="H126" s="18" t="str">
        <f t="shared" ca="1" si="6"/>
        <v/>
      </c>
      <c r="I126" s="15" t="str">
        <f t="shared" ca="1" si="7"/>
        <v>Not yet granted</v>
      </c>
    </row>
    <row r="127" spans="8:9" x14ac:dyDescent="0.35">
      <c r="H127" s="18" t="str">
        <f t="shared" ca="1" si="6"/>
        <v/>
      </c>
      <c r="I127" s="15" t="str">
        <f t="shared" ca="1" si="7"/>
        <v>Not yet granted</v>
      </c>
    </row>
    <row r="128" spans="8:9" x14ac:dyDescent="0.35">
      <c r="H128" s="18" t="str">
        <f t="shared" ca="1" si="6"/>
        <v/>
      </c>
      <c r="I128" s="15" t="str">
        <f t="shared" ca="1" si="7"/>
        <v>Not yet granted</v>
      </c>
    </row>
    <row r="129" spans="8:9" x14ac:dyDescent="0.35">
      <c r="H129" s="18" t="str">
        <f t="shared" ca="1" si="6"/>
        <v/>
      </c>
      <c r="I129" s="15" t="str">
        <f t="shared" ca="1" si="7"/>
        <v>Not yet granted</v>
      </c>
    </row>
    <row r="130" spans="8:9" x14ac:dyDescent="0.35">
      <c r="H130" s="18" t="str">
        <f t="shared" ca="1" si="6"/>
        <v/>
      </c>
      <c r="I130" s="15" t="str">
        <f t="shared" ca="1" si="7"/>
        <v>Not yet granted</v>
      </c>
    </row>
    <row r="131" spans="8:9" x14ac:dyDescent="0.35">
      <c r="H131" s="18" t="str">
        <f t="shared" ref="H131:H162" ca="1" si="8">IFERROR(IF(G131="","",G131-TODAY()),"")</f>
        <v/>
      </c>
      <c r="I131" s="15" t="str">
        <f t="shared" ref="I131:I162" ca="1" si="9">IFERROR(IF(G131="","Not yet granted",IF(G131&lt;TODAY(),"EXPIRED",IF(G131-TODAY()&lt;=14,"Expires in 14 days",IF(G131-TODAY()&lt;=30,"Review within 30 days","Active")))),"Not yet granted")</f>
        <v>Not yet granted</v>
      </c>
    </row>
    <row r="132" spans="8:9" x14ac:dyDescent="0.35">
      <c r="H132" s="18" t="str">
        <f t="shared" ca="1" si="8"/>
        <v/>
      </c>
      <c r="I132" s="15" t="str">
        <f t="shared" ca="1" si="9"/>
        <v>Not yet granted</v>
      </c>
    </row>
    <row r="133" spans="8:9" x14ac:dyDescent="0.35">
      <c r="H133" s="18" t="str">
        <f t="shared" ca="1" si="8"/>
        <v/>
      </c>
      <c r="I133" s="15" t="str">
        <f t="shared" ca="1" si="9"/>
        <v>Not yet granted</v>
      </c>
    </row>
    <row r="134" spans="8:9" x14ac:dyDescent="0.35">
      <c r="H134" s="18" t="str">
        <f t="shared" ca="1" si="8"/>
        <v/>
      </c>
      <c r="I134" s="15" t="str">
        <f t="shared" ca="1" si="9"/>
        <v>Not yet granted</v>
      </c>
    </row>
    <row r="135" spans="8:9" x14ac:dyDescent="0.35">
      <c r="H135" s="18" t="str">
        <f t="shared" ca="1" si="8"/>
        <v/>
      </c>
      <c r="I135" s="15" t="str">
        <f t="shared" ca="1" si="9"/>
        <v>Not yet granted</v>
      </c>
    </row>
    <row r="136" spans="8:9" x14ac:dyDescent="0.35">
      <c r="H136" s="18" t="str">
        <f t="shared" ca="1" si="8"/>
        <v/>
      </c>
      <c r="I136" s="15" t="str">
        <f t="shared" ca="1" si="9"/>
        <v>Not yet granted</v>
      </c>
    </row>
    <row r="137" spans="8:9" x14ac:dyDescent="0.35">
      <c r="H137" s="18" t="str">
        <f t="shared" ca="1" si="8"/>
        <v/>
      </c>
      <c r="I137" s="15" t="str">
        <f t="shared" ca="1" si="9"/>
        <v>Not yet granted</v>
      </c>
    </row>
    <row r="138" spans="8:9" x14ac:dyDescent="0.35">
      <c r="H138" s="18" t="str">
        <f t="shared" ca="1" si="8"/>
        <v/>
      </c>
      <c r="I138" s="15" t="str">
        <f t="shared" ca="1" si="9"/>
        <v>Not yet granted</v>
      </c>
    </row>
    <row r="139" spans="8:9" x14ac:dyDescent="0.35">
      <c r="H139" s="18" t="str">
        <f t="shared" ca="1" si="8"/>
        <v/>
      </c>
      <c r="I139" s="15" t="str">
        <f t="shared" ca="1" si="9"/>
        <v>Not yet granted</v>
      </c>
    </row>
    <row r="140" spans="8:9" x14ac:dyDescent="0.35">
      <c r="H140" s="18" t="str">
        <f t="shared" ca="1" si="8"/>
        <v/>
      </c>
      <c r="I140" s="15" t="str">
        <f t="shared" ca="1" si="9"/>
        <v>Not yet granted</v>
      </c>
    </row>
    <row r="141" spans="8:9" x14ac:dyDescent="0.35">
      <c r="H141" s="18" t="str">
        <f t="shared" ca="1" si="8"/>
        <v/>
      </c>
      <c r="I141" s="15" t="str">
        <f t="shared" ca="1" si="9"/>
        <v>Not yet granted</v>
      </c>
    </row>
    <row r="142" spans="8:9" x14ac:dyDescent="0.35">
      <c r="H142" s="18" t="str">
        <f t="shared" ca="1" si="8"/>
        <v/>
      </c>
      <c r="I142" s="15" t="str">
        <f t="shared" ca="1" si="9"/>
        <v>Not yet granted</v>
      </c>
    </row>
    <row r="143" spans="8:9" x14ac:dyDescent="0.35">
      <c r="H143" s="18" t="str">
        <f t="shared" ca="1" si="8"/>
        <v/>
      </c>
      <c r="I143" s="15" t="str">
        <f t="shared" ca="1" si="9"/>
        <v>Not yet granted</v>
      </c>
    </row>
    <row r="144" spans="8:9" x14ac:dyDescent="0.35">
      <c r="H144" s="18" t="str">
        <f t="shared" ca="1" si="8"/>
        <v/>
      </c>
      <c r="I144" s="15" t="str">
        <f t="shared" ca="1" si="9"/>
        <v>Not yet granted</v>
      </c>
    </row>
    <row r="145" spans="8:9" x14ac:dyDescent="0.35">
      <c r="H145" s="18" t="str">
        <f t="shared" ca="1" si="8"/>
        <v/>
      </c>
      <c r="I145" s="15" t="str">
        <f t="shared" ca="1" si="9"/>
        <v>Not yet granted</v>
      </c>
    </row>
    <row r="146" spans="8:9" x14ac:dyDescent="0.35">
      <c r="H146" s="18" t="str">
        <f t="shared" ca="1" si="8"/>
        <v/>
      </c>
      <c r="I146" s="15" t="str">
        <f t="shared" ca="1" si="9"/>
        <v>Not yet granted</v>
      </c>
    </row>
    <row r="147" spans="8:9" x14ac:dyDescent="0.35">
      <c r="H147" s="18" t="str">
        <f t="shared" ca="1" si="8"/>
        <v/>
      </c>
      <c r="I147" s="15" t="str">
        <f t="shared" ca="1" si="9"/>
        <v>Not yet granted</v>
      </c>
    </row>
    <row r="148" spans="8:9" x14ac:dyDescent="0.35">
      <c r="H148" s="18" t="str">
        <f t="shared" ca="1" si="8"/>
        <v/>
      </c>
      <c r="I148" s="15" t="str">
        <f t="shared" ca="1" si="9"/>
        <v>Not yet granted</v>
      </c>
    </row>
    <row r="149" spans="8:9" x14ac:dyDescent="0.35">
      <c r="H149" s="18" t="str">
        <f t="shared" ca="1" si="8"/>
        <v/>
      </c>
      <c r="I149" s="15" t="str">
        <f t="shared" ca="1" si="9"/>
        <v>Not yet granted</v>
      </c>
    </row>
    <row r="150" spans="8:9" x14ac:dyDescent="0.35">
      <c r="H150" s="18" t="str">
        <f t="shared" ca="1" si="8"/>
        <v/>
      </c>
      <c r="I150" s="15" t="str">
        <f t="shared" ca="1" si="9"/>
        <v>Not yet granted</v>
      </c>
    </row>
    <row r="151" spans="8:9" x14ac:dyDescent="0.35">
      <c r="H151" s="18" t="str">
        <f t="shared" ca="1" si="8"/>
        <v/>
      </c>
      <c r="I151" s="15" t="str">
        <f t="shared" ca="1" si="9"/>
        <v>Not yet granted</v>
      </c>
    </row>
    <row r="152" spans="8:9" x14ac:dyDescent="0.35">
      <c r="H152" s="18" t="str">
        <f t="shared" ca="1" si="8"/>
        <v/>
      </c>
      <c r="I152" s="15" t="str">
        <f t="shared" ca="1" si="9"/>
        <v>Not yet granted</v>
      </c>
    </row>
    <row r="153" spans="8:9" x14ac:dyDescent="0.35">
      <c r="H153" s="18" t="str">
        <f t="shared" ca="1" si="8"/>
        <v/>
      </c>
      <c r="I153" s="15" t="str">
        <f t="shared" ca="1" si="9"/>
        <v>Not yet granted</v>
      </c>
    </row>
    <row r="154" spans="8:9" x14ac:dyDescent="0.35">
      <c r="H154" s="18" t="str">
        <f t="shared" ca="1" si="8"/>
        <v/>
      </c>
      <c r="I154" s="15" t="str">
        <f t="shared" ca="1" si="9"/>
        <v>Not yet granted</v>
      </c>
    </row>
    <row r="155" spans="8:9" x14ac:dyDescent="0.35">
      <c r="H155" s="18" t="str">
        <f t="shared" ca="1" si="8"/>
        <v/>
      </c>
      <c r="I155" s="15" t="str">
        <f t="shared" ca="1" si="9"/>
        <v>Not yet granted</v>
      </c>
    </row>
    <row r="156" spans="8:9" x14ac:dyDescent="0.35">
      <c r="H156" s="18" t="str">
        <f t="shared" ca="1" si="8"/>
        <v/>
      </c>
      <c r="I156" s="15" t="str">
        <f t="shared" ca="1" si="9"/>
        <v>Not yet granted</v>
      </c>
    </row>
    <row r="157" spans="8:9" x14ac:dyDescent="0.35">
      <c r="H157" s="18" t="str">
        <f t="shared" ca="1" si="8"/>
        <v/>
      </c>
      <c r="I157" s="15" t="str">
        <f t="shared" ca="1" si="9"/>
        <v>Not yet granted</v>
      </c>
    </row>
    <row r="158" spans="8:9" x14ac:dyDescent="0.35">
      <c r="H158" s="18" t="str">
        <f t="shared" ca="1" si="8"/>
        <v/>
      </c>
      <c r="I158" s="15" t="str">
        <f t="shared" ca="1" si="9"/>
        <v>Not yet granted</v>
      </c>
    </row>
    <row r="159" spans="8:9" x14ac:dyDescent="0.35">
      <c r="H159" s="18" t="str">
        <f t="shared" ca="1" si="8"/>
        <v/>
      </c>
      <c r="I159" s="15" t="str">
        <f t="shared" ca="1" si="9"/>
        <v>Not yet granted</v>
      </c>
    </row>
    <row r="160" spans="8:9" x14ac:dyDescent="0.35">
      <c r="H160" s="18" t="str">
        <f t="shared" ca="1" si="8"/>
        <v/>
      </c>
      <c r="I160" s="15" t="str">
        <f t="shared" ca="1" si="9"/>
        <v>Not yet granted</v>
      </c>
    </row>
    <row r="161" spans="8:9" x14ac:dyDescent="0.35">
      <c r="H161" s="18" t="str">
        <f t="shared" ca="1" si="8"/>
        <v/>
      </c>
      <c r="I161" s="15" t="str">
        <f t="shared" ca="1" si="9"/>
        <v>Not yet granted</v>
      </c>
    </row>
    <row r="162" spans="8:9" x14ac:dyDescent="0.35">
      <c r="H162" s="18" t="str">
        <f t="shared" ca="1" si="8"/>
        <v/>
      </c>
      <c r="I162" s="15" t="str">
        <f t="shared" ca="1" si="9"/>
        <v>Not yet granted</v>
      </c>
    </row>
    <row r="163" spans="8:9" x14ac:dyDescent="0.35">
      <c r="H163" s="18" t="str">
        <f t="shared" ref="H163:H194" ca="1" si="10">IFERROR(IF(G163="","",G163-TODAY()),"")</f>
        <v/>
      </c>
      <c r="I163" s="15" t="str">
        <f t="shared" ref="I163:I194" ca="1" si="11">IFERROR(IF(G163="","Not yet granted",IF(G163&lt;TODAY(),"EXPIRED",IF(G163-TODAY()&lt;=14,"Expires in 14 days",IF(G163-TODAY()&lt;=30,"Review within 30 days","Active")))),"Not yet granted")</f>
        <v>Not yet granted</v>
      </c>
    </row>
    <row r="164" spans="8:9" x14ac:dyDescent="0.35">
      <c r="H164" s="18" t="str">
        <f t="shared" ca="1" si="10"/>
        <v/>
      </c>
      <c r="I164" s="15" t="str">
        <f t="shared" ca="1" si="11"/>
        <v>Not yet granted</v>
      </c>
    </row>
    <row r="165" spans="8:9" x14ac:dyDescent="0.35">
      <c r="H165" s="18" t="str">
        <f t="shared" ca="1" si="10"/>
        <v/>
      </c>
      <c r="I165" s="15" t="str">
        <f t="shared" ca="1" si="11"/>
        <v>Not yet granted</v>
      </c>
    </row>
    <row r="166" spans="8:9" x14ac:dyDescent="0.35">
      <c r="H166" s="18" t="str">
        <f t="shared" ca="1" si="10"/>
        <v/>
      </c>
      <c r="I166" s="15" t="str">
        <f t="shared" ca="1" si="11"/>
        <v>Not yet granted</v>
      </c>
    </row>
    <row r="167" spans="8:9" x14ac:dyDescent="0.35">
      <c r="H167" s="18" t="str">
        <f t="shared" ca="1" si="10"/>
        <v/>
      </c>
      <c r="I167" s="15" t="str">
        <f t="shared" ca="1" si="11"/>
        <v>Not yet granted</v>
      </c>
    </row>
    <row r="168" spans="8:9" x14ac:dyDescent="0.35">
      <c r="H168" s="18" t="str">
        <f t="shared" ca="1" si="10"/>
        <v/>
      </c>
      <c r="I168" s="15" t="str">
        <f t="shared" ca="1" si="11"/>
        <v>Not yet granted</v>
      </c>
    </row>
    <row r="169" spans="8:9" x14ac:dyDescent="0.35">
      <c r="H169" s="18" t="str">
        <f t="shared" ca="1" si="10"/>
        <v/>
      </c>
      <c r="I169" s="15" t="str">
        <f t="shared" ca="1" si="11"/>
        <v>Not yet granted</v>
      </c>
    </row>
    <row r="170" spans="8:9" x14ac:dyDescent="0.35">
      <c r="H170" s="18" t="str">
        <f t="shared" ca="1" si="10"/>
        <v/>
      </c>
      <c r="I170" s="15" t="str">
        <f t="shared" ca="1" si="11"/>
        <v>Not yet granted</v>
      </c>
    </row>
    <row r="171" spans="8:9" x14ac:dyDescent="0.35">
      <c r="H171" s="18" t="str">
        <f t="shared" ca="1" si="10"/>
        <v/>
      </c>
      <c r="I171" s="15" t="str">
        <f t="shared" ca="1" si="11"/>
        <v>Not yet granted</v>
      </c>
    </row>
    <row r="172" spans="8:9" x14ac:dyDescent="0.35">
      <c r="H172" s="18" t="str">
        <f t="shared" ca="1" si="10"/>
        <v/>
      </c>
      <c r="I172" s="15" t="str">
        <f t="shared" ca="1" si="11"/>
        <v>Not yet granted</v>
      </c>
    </row>
    <row r="173" spans="8:9" x14ac:dyDescent="0.35">
      <c r="H173" s="18" t="str">
        <f t="shared" ca="1" si="10"/>
        <v/>
      </c>
      <c r="I173" s="15" t="str">
        <f t="shared" ca="1" si="11"/>
        <v>Not yet granted</v>
      </c>
    </row>
    <row r="174" spans="8:9" x14ac:dyDescent="0.35">
      <c r="H174" s="18" t="str">
        <f t="shared" ca="1" si="10"/>
        <v/>
      </c>
      <c r="I174" s="15" t="str">
        <f t="shared" ca="1" si="11"/>
        <v>Not yet granted</v>
      </c>
    </row>
    <row r="175" spans="8:9" x14ac:dyDescent="0.35">
      <c r="H175" s="18" t="str">
        <f t="shared" ca="1" si="10"/>
        <v/>
      </c>
      <c r="I175" s="15" t="str">
        <f t="shared" ca="1" si="11"/>
        <v>Not yet granted</v>
      </c>
    </row>
    <row r="176" spans="8:9" x14ac:dyDescent="0.35">
      <c r="H176" s="18" t="str">
        <f t="shared" ca="1" si="10"/>
        <v/>
      </c>
      <c r="I176" s="15" t="str">
        <f t="shared" ca="1" si="11"/>
        <v>Not yet granted</v>
      </c>
    </row>
    <row r="177" spans="8:9" x14ac:dyDescent="0.35">
      <c r="H177" s="18" t="str">
        <f t="shared" ca="1" si="10"/>
        <v/>
      </c>
      <c r="I177" s="15" t="str">
        <f t="shared" ca="1" si="11"/>
        <v>Not yet granted</v>
      </c>
    </row>
    <row r="178" spans="8:9" x14ac:dyDescent="0.35">
      <c r="H178" s="18" t="str">
        <f t="shared" ca="1" si="10"/>
        <v/>
      </c>
      <c r="I178" s="15" t="str">
        <f t="shared" ca="1" si="11"/>
        <v>Not yet granted</v>
      </c>
    </row>
    <row r="179" spans="8:9" x14ac:dyDescent="0.35">
      <c r="H179" s="18" t="str">
        <f t="shared" ca="1" si="10"/>
        <v/>
      </c>
      <c r="I179" s="15" t="str">
        <f t="shared" ca="1" si="11"/>
        <v>Not yet granted</v>
      </c>
    </row>
    <row r="180" spans="8:9" x14ac:dyDescent="0.35">
      <c r="H180" s="18" t="str">
        <f t="shared" ca="1" si="10"/>
        <v/>
      </c>
      <c r="I180" s="15" t="str">
        <f t="shared" ca="1" si="11"/>
        <v>Not yet granted</v>
      </c>
    </row>
    <row r="181" spans="8:9" x14ac:dyDescent="0.35">
      <c r="H181" s="18" t="str">
        <f t="shared" ca="1" si="10"/>
        <v/>
      </c>
      <c r="I181" s="15" t="str">
        <f t="shared" ca="1" si="11"/>
        <v>Not yet granted</v>
      </c>
    </row>
    <row r="182" spans="8:9" x14ac:dyDescent="0.35">
      <c r="H182" s="18" t="str">
        <f t="shared" ca="1" si="10"/>
        <v/>
      </c>
      <c r="I182" s="15" t="str">
        <f t="shared" ca="1" si="11"/>
        <v>Not yet granted</v>
      </c>
    </row>
    <row r="183" spans="8:9" x14ac:dyDescent="0.35">
      <c r="H183" s="18" t="str">
        <f t="shared" ca="1" si="10"/>
        <v/>
      </c>
      <c r="I183" s="15" t="str">
        <f t="shared" ca="1" si="11"/>
        <v>Not yet granted</v>
      </c>
    </row>
    <row r="184" spans="8:9" x14ac:dyDescent="0.35">
      <c r="H184" s="18" t="str">
        <f t="shared" ca="1" si="10"/>
        <v/>
      </c>
      <c r="I184" s="15" t="str">
        <f t="shared" ca="1" si="11"/>
        <v>Not yet granted</v>
      </c>
    </row>
    <row r="185" spans="8:9" x14ac:dyDescent="0.35">
      <c r="H185" s="18" t="str">
        <f t="shared" ca="1" si="10"/>
        <v/>
      </c>
      <c r="I185" s="15" t="str">
        <f t="shared" ca="1" si="11"/>
        <v>Not yet granted</v>
      </c>
    </row>
    <row r="186" spans="8:9" x14ac:dyDescent="0.35">
      <c r="H186" s="18" t="str">
        <f t="shared" ca="1" si="10"/>
        <v/>
      </c>
      <c r="I186" s="15" t="str">
        <f t="shared" ca="1" si="11"/>
        <v>Not yet granted</v>
      </c>
    </row>
    <row r="187" spans="8:9" x14ac:dyDescent="0.35">
      <c r="H187" s="18" t="str">
        <f t="shared" ca="1" si="10"/>
        <v/>
      </c>
      <c r="I187" s="15" t="str">
        <f t="shared" ca="1" si="11"/>
        <v>Not yet granted</v>
      </c>
    </row>
    <row r="188" spans="8:9" x14ac:dyDescent="0.35">
      <c r="H188" s="18" t="str">
        <f t="shared" ca="1" si="10"/>
        <v/>
      </c>
      <c r="I188" s="15" t="str">
        <f t="shared" ca="1" si="11"/>
        <v>Not yet granted</v>
      </c>
    </row>
    <row r="189" spans="8:9" x14ac:dyDescent="0.35">
      <c r="H189" s="18" t="str">
        <f t="shared" ca="1" si="10"/>
        <v/>
      </c>
      <c r="I189" s="15" t="str">
        <f t="shared" ca="1" si="11"/>
        <v>Not yet granted</v>
      </c>
    </row>
    <row r="190" spans="8:9" x14ac:dyDescent="0.35">
      <c r="H190" s="18" t="str">
        <f t="shared" ca="1" si="10"/>
        <v/>
      </c>
      <c r="I190" s="15" t="str">
        <f t="shared" ca="1" si="11"/>
        <v>Not yet granted</v>
      </c>
    </row>
    <row r="191" spans="8:9" x14ac:dyDescent="0.35">
      <c r="H191" s="18" t="str">
        <f t="shared" ca="1" si="10"/>
        <v/>
      </c>
      <c r="I191" s="15" t="str">
        <f t="shared" ca="1" si="11"/>
        <v>Not yet granted</v>
      </c>
    </row>
    <row r="192" spans="8:9" x14ac:dyDescent="0.35">
      <c r="H192" s="18" t="str">
        <f t="shared" ca="1" si="10"/>
        <v/>
      </c>
      <c r="I192" s="15" t="str">
        <f t="shared" ca="1" si="11"/>
        <v>Not yet granted</v>
      </c>
    </row>
    <row r="193" spans="8:9" x14ac:dyDescent="0.35">
      <c r="H193" s="18" t="str">
        <f t="shared" ca="1" si="10"/>
        <v/>
      </c>
      <c r="I193" s="15" t="str">
        <f t="shared" ca="1" si="11"/>
        <v>Not yet granted</v>
      </c>
    </row>
    <row r="194" spans="8:9" x14ac:dyDescent="0.35">
      <c r="H194" s="18" t="str">
        <f t="shared" ca="1" si="10"/>
        <v/>
      </c>
      <c r="I194" s="15" t="str">
        <f t="shared" ca="1" si="11"/>
        <v>Not yet granted</v>
      </c>
    </row>
    <row r="195" spans="8:9" x14ac:dyDescent="0.35">
      <c r="H195" s="18" t="str">
        <f t="shared" ref="H195:H202" ca="1" si="12">IFERROR(IF(G195="","",G195-TODAY()),"")</f>
        <v/>
      </c>
      <c r="I195" s="15" t="str">
        <f t="shared" ref="I195:I202" ca="1" si="13">IFERROR(IF(G195="","Not yet granted",IF(G195&lt;TODAY(),"EXPIRED",IF(G195-TODAY()&lt;=14,"Expires in 14 days",IF(G195-TODAY()&lt;=30,"Review within 30 days","Active")))),"Not yet granted")</f>
        <v>Not yet granted</v>
      </c>
    </row>
    <row r="196" spans="8:9" x14ac:dyDescent="0.35">
      <c r="H196" s="18" t="str">
        <f t="shared" ca="1" si="12"/>
        <v/>
      </c>
      <c r="I196" s="15" t="str">
        <f t="shared" ca="1" si="13"/>
        <v>Not yet granted</v>
      </c>
    </row>
    <row r="197" spans="8:9" x14ac:dyDescent="0.35">
      <c r="H197" s="18" t="str">
        <f t="shared" ca="1" si="12"/>
        <v/>
      </c>
      <c r="I197" s="15" t="str">
        <f t="shared" ca="1" si="13"/>
        <v>Not yet granted</v>
      </c>
    </row>
    <row r="198" spans="8:9" x14ac:dyDescent="0.35">
      <c r="H198" s="18" t="str">
        <f t="shared" ca="1" si="12"/>
        <v/>
      </c>
      <c r="I198" s="15" t="str">
        <f t="shared" ca="1" si="13"/>
        <v>Not yet granted</v>
      </c>
    </row>
    <row r="199" spans="8:9" x14ac:dyDescent="0.35">
      <c r="H199" s="18" t="str">
        <f t="shared" ca="1" si="12"/>
        <v/>
      </c>
      <c r="I199" s="15" t="str">
        <f t="shared" ca="1" si="13"/>
        <v>Not yet granted</v>
      </c>
    </row>
    <row r="200" spans="8:9" x14ac:dyDescent="0.35">
      <c r="H200" s="18" t="str">
        <f t="shared" ca="1" si="12"/>
        <v/>
      </c>
      <c r="I200" s="15" t="str">
        <f t="shared" ca="1" si="13"/>
        <v>Not yet granted</v>
      </c>
    </row>
    <row r="201" spans="8:9" x14ac:dyDescent="0.35">
      <c r="H201" s="18" t="str">
        <f t="shared" ca="1" si="12"/>
        <v/>
      </c>
      <c r="I201" s="15" t="str">
        <f t="shared" ca="1" si="13"/>
        <v>Not yet granted</v>
      </c>
    </row>
    <row r="202" spans="8:9" x14ac:dyDescent="0.35">
      <c r="H202" s="18" t="str">
        <f t="shared" ca="1" si="12"/>
        <v/>
      </c>
      <c r="I202" s="15" t="str">
        <f t="shared" ca="1" si="13"/>
        <v>Not yet granted</v>
      </c>
    </row>
  </sheetData>
  <autoFilter ref="A3:M3" xr:uid="{00000000-0009-0000-0000-000004000000}"/>
  <mergeCells count="2">
    <mergeCell ref="A1:P1"/>
    <mergeCell ref="A2:P2"/>
  </mergeCells>
  <phoneticPr fontId="11" type="noConversion"/>
  <conditionalFormatting sqref="H4:H202">
    <cfRule type="colorScale" priority="6">
      <colorScale>
        <cfvo type="num" val="0"/>
        <cfvo type="num" val="30"/>
        <cfvo type="num" val="365"/>
        <color rgb="FFE24B4A"/>
        <color rgb="FFEF9F27"/>
        <color rgb="FF1D9E75"/>
      </colorScale>
    </cfRule>
  </conditionalFormatting>
  <conditionalFormatting sqref="I4:I202">
    <cfRule type="expression" dxfId="3" priority="2">
      <formula>I4="EXPIRED"</formula>
    </cfRule>
    <cfRule type="expression" dxfId="2" priority="3">
      <formula>I4="Expires in 14 days"</formula>
    </cfRule>
    <cfRule type="expression" dxfId="1" priority="4">
      <formula>I4="Review within 30 days"</formula>
    </cfRule>
    <cfRule type="expression" dxfId="0" priority="5">
      <formula>I4="Active"</formula>
    </cfRule>
  </conditionalFormatting>
  <dataValidations count="1">
    <dataValidation type="list" sqref="L4:L199" xr:uid="{00000000-0002-0000-0400-000000000000}">
      <formula1>"Yes,No,In progress"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F9F27"/>
  </sheetPr>
  <dimension ref="A1:P499"/>
  <sheetViews>
    <sheetView tabSelected="1" zoomScaleNormal="100" workbookViewId="0">
      <pane ySplit="3" topLeftCell="A4" activePane="bottomLeft" state="frozen"/>
      <selection pane="bottomLeft" activeCell="G12" sqref="G12"/>
    </sheetView>
  </sheetViews>
  <sheetFormatPr defaultColWidth="8.6328125" defaultRowHeight="14.5" x14ac:dyDescent="0.35"/>
  <cols>
    <col min="1" max="2" width="10" customWidth="1"/>
    <col min="3" max="3" width="22" customWidth="1"/>
    <col min="4" max="4" width="12" customWidth="1"/>
    <col min="5" max="5" width="8" customWidth="1"/>
    <col min="6" max="6" width="18" customWidth="1"/>
    <col min="7" max="7" width="30" customWidth="1"/>
    <col min="8" max="8" width="20" customWidth="1"/>
    <col min="9" max="9" width="16" customWidth="1"/>
    <col min="10" max="10" width="12" customWidth="1"/>
    <col min="11" max="11" width="10" customWidth="1"/>
    <col min="12" max="12" width="12" customWidth="1"/>
    <col min="13" max="13" width="16" customWidth="1"/>
    <col min="14" max="14" width="26" customWidth="1"/>
  </cols>
  <sheetData>
    <row r="1" spans="1:16" ht="27.75" customHeight="1" x14ac:dyDescent="0.35">
      <c r="A1" s="39" t="s">
        <v>13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8" customHeight="1" x14ac:dyDescent="0.35">
      <c r="A2" s="38" t="s">
        <v>120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spans="1:16" x14ac:dyDescent="0.35">
      <c r="A3" s="6" t="s">
        <v>85</v>
      </c>
      <c r="B3" s="6" t="s">
        <v>22</v>
      </c>
      <c r="C3" s="6" t="s">
        <v>38</v>
      </c>
      <c r="D3" s="6" t="s">
        <v>121</v>
      </c>
      <c r="E3" s="6" t="s">
        <v>122</v>
      </c>
      <c r="F3" s="6" t="s">
        <v>123</v>
      </c>
      <c r="G3" s="6" t="s">
        <v>124</v>
      </c>
      <c r="H3" s="6" t="s">
        <v>125</v>
      </c>
      <c r="I3" s="6" t="s">
        <v>126</v>
      </c>
      <c r="J3" s="6" t="s">
        <v>127</v>
      </c>
      <c r="K3" s="6" t="s">
        <v>128</v>
      </c>
      <c r="L3" s="6" t="s">
        <v>129</v>
      </c>
      <c r="M3" s="6" t="s">
        <v>130</v>
      </c>
      <c r="N3" s="6" t="s">
        <v>72</v>
      </c>
    </row>
    <row r="4" spans="1:16" x14ac:dyDescent="0.35">
      <c r="A4" s="7" t="s">
        <v>131</v>
      </c>
      <c r="B4" s="7" t="s">
        <v>50</v>
      </c>
      <c r="C4" s="7" t="str">
        <f>IFERROR(INDEX(Facilities!B:B,MATCH(B4,Facilities!A:A,0)),"")</f>
        <v>Market Street</v>
      </c>
      <c r="D4" s="7" t="s">
        <v>132</v>
      </c>
      <c r="E4" s="7" t="s">
        <v>133</v>
      </c>
      <c r="F4" s="7" t="s">
        <v>312</v>
      </c>
      <c r="G4" s="7" t="s">
        <v>248</v>
      </c>
      <c r="H4" s="7" t="s">
        <v>134</v>
      </c>
      <c r="I4" s="7" t="s">
        <v>135</v>
      </c>
      <c r="J4" s="19">
        <v>480</v>
      </c>
      <c r="K4" s="19">
        <v>96</v>
      </c>
      <c r="L4" s="19">
        <f t="shared" ref="L4:L67" si="0">IFERROR(J4+K4,"")</f>
        <v>576</v>
      </c>
      <c r="M4" s="7" t="s">
        <v>242</v>
      </c>
      <c r="N4" s="7"/>
    </row>
    <row r="5" spans="1:16" x14ac:dyDescent="0.35">
      <c r="A5" s="9" t="s">
        <v>136</v>
      </c>
      <c r="B5" s="9" t="s">
        <v>50</v>
      </c>
      <c r="C5" s="9" t="str">
        <f>IFERROR(INDEX(Facilities!B:B,MATCH(B5,Facilities!A:A,0)),"")</f>
        <v>Market Street</v>
      </c>
      <c r="D5" s="9" t="s">
        <v>249</v>
      </c>
      <c r="E5" s="9" t="s">
        <v>133</v>
      </c>
      <c r="F5" s="9" t="s">
        <v>313</v>
      </c>
      <c r="G5" s="9" t="s">
        <v>137</v>
      </c>
      <c r="H5" s="9" t="s">
        <v>138</v>
      </c>
      <c r="I5" s="9" t="s">
        <v>139</v>
      </c>
      <c r="J5" s="20">
        <v>320</v>
      </c>
      <c r="K5" s="20">
        <v>64</v>
      </c>
      <c r="L5" s="20">
        <f t="shared" si="0"/>
        <v>384</v>
      </c>
      <c r="M5" s="9" t="s">
        <v>244</v>
      </c>
      <c r="N5" s="9"/>
    </row>
    <row r="6" spans="1:16" x14ac:dyDescent="0.35">
      <c r="A6" s="7" t="s">
        <v>140</v>
      </c>
      <c r="B6" s="7" t="s">
        <v>55</v>
      </c>
      <c r="C6" s="7" t="str">
        <f>IFERROR(INDEX(Facilities!B:B,MATCH(B6,Facilities!A:A,0)),"")</f>
        <v>404 Romford Road</v>
      </c>
      <c r="D6" s="7" t="s">
        <v>132</v>
      </c>
      <c r="E6" s="7" t="s">
        <v>133</v>
      </c>
      <c r="F6" s="7" t="s">
        <v>141</v>
      </c>
      <c r="G6" s="7" t="s">
        <v>142</v>
      </c>
      <c r="H6" s="7" t="s">
        <v>246</v>
      </c>
      <c r="I6" s="7" t="s">
        <v>143</v>
      </c>
      <c r="J6" s="19">
        <v>210</v>
      </c>
      <c r="K6" s="19">
        <v>42</v>
      </c>
      <c r="L6" s="19">
        <f t="shared" si="0"/>
        <v>252</v>
      </c>
      <c r="M6" s="7" t="s">
        <v>243</v>
      </c>
      <c r="N6" s="7"/>
    </row>
    <row r="7" spans="1:16" x14ac:dyDescent="0.35">
      <c r="A7" s="9" t="s">
        <v>144</v>
      </c>
      <c r="B7" s="9" t="s">
        <v>58</v>
      </c>
      <c r="C7" s="9" t="str">
        <f>IFERROR(INDEX(Facilities!B:B,MATCH(B7,Facilities!A:A,0)),"")</f>
        <v>Thorngrove Lodge</v>
      </c>
      <c r="D7" s="9" t="s">
        <v>250</v>
      </c>
      <c r="E7" s="9" t="s">
        <v>133</v>
      </c>
      <c r="F7" s="7" t="s">
        <v>314</v>
      </c>
      <c r="G7" s="9" t="s">
        <v>247</v>
      </c>
      <c r="H7" s="9" t="s">
        <v>146</v>
      </c>
      <c r="I7" s="9" t="s">
        <v>147</v>
      </c>
      <c r="J7" s="20">
        <v>560</v>
      </c>
      <c r="K7" s="20">
        <v>112</v>
      </c>
      <c r="L7" s="20">
        <f t="shared" si="0"/>
        <v>672</v>
      </c>
      <c r="M7" s="9" t="s">
        <v>245</v>
      </c>
      <c r="N7" s="9"/>
    </row>
    <row r="8" spans="1:16" x14ac:dyDescent="0.35">
      <c r="A8" s="7" t="s">
        <v>148</v>
      </c>
      <c r="B8" s="7" t="s">
        <v>50</v>
      </c>
      <c r="C8" s="7" t="str">
        <f>IFERROR(INDEX(Facilities!B:B,MATCH(B8,Facilities!A:A,0)),"")</f>
        <v>Market Street</v>
      </c>
      <c r="D8" s="7" t="s">
        <v>251</v>
      </c>
      <c r="E8" s="7" t="s">
        <v>133</v>
      </c>
      <c r="F8" s="9" t="s">
        <v>315</v>
      </c>
      <c r="G8" s="7" t="s">
        <v>149</v>
      </c>
      <c r="H8" s="7" t="s">
        <v>253</v>
      </c>
      <c r="I8" s="7" t="s">
        <v>150</v>
      </c>
      <c r="J8" s="19">
        <v>145</v>
      </c>
      <c r="K8" s="19">
        <v>29</v>
      </c>
      <c r="L8" s="19">
        <f t="shared" si="0"/>
        <v>174</v>
      </c>
      <c r="M8" s="7" t="s">
        <v>242</v>
      </c>
      <c r="N8" s="7"/>
    </row>
    <row r="9" spans="1:16" x14ac:dyDescent="0.35">
      <c r="A9" s="9" t="s">
        <v>151</v>
      </c>
      <c r="B9" s="9" t="s">
        <v>55</v>
      </c>
      <c r="C9" s="9" t="str">
        <f>IFERROR(INDEX(Facilities!B:B,MATCH(B9,Facilities!A:A,0)),"")</f>
        <v>404 Romford Road</v>
      </c>
      <c r="D9" s="9" t="s">
        <v>145</v>
      </c>
      <c r="E9" s="9" t="s">
        <v>133</v>
      </c>
      <c r="F9" s="33" t="s">
        <v>316</v>
      </c>
      <c r="G9" s="9" t="s">
        <v>152</v>
      </c>
      <c r="H9" s="9" t="s">
        <v>252</v>
      </c>
      <c r="I9" s="9" t="s">
        <v>153</v>
      </c>
      <c r="J9" s="20">
        <v>400</v>
      </c>
      <c r="K9" s="20">
        <v>80</v>
      </c>
      <c r="L9" s="20">
        <f t="shared" si="0"/>
        <v>480</v>
      </c>
      <c r="M9" s="9" t="s">
        <v>242</v>
      </c>
      <c r="N9" s="9"/>
    </row>
    <row r="10" spans="1:16" x14ac:dyDescent="0.35">
      <c r="A10" s="9" t="s">
        <v>319</v>
      </c>
      <c r="B10" s="9" t="s">
        <v>58</v>
      </c>
      <c r="C10" s="9" t="str">
        <f>IFERROR(INDEX(Facilities!B:B,MATCH(B10,Facilities!A:A,0)),"")</f>
        <v>Thorngrove Lodge</v>
      </c>
      <c r="D10" s="9" t="s">
        <v>318</v>
      </c>
      <c r="E10" s="9">
        <v>2025</v>
      </c>
      <c r="F10" s="33" t="s">
        <v>317</v>
      </c>
      <c r="G10" s="33" t="s">
        <v>317</v>
      </c>
      <c r="H10" s="33" t="s">
        <v>320</v>
      </c>
      <c r="L10" s="20">
        <f t="shared" si="0"/>
        <v>0</v>
      </c>
      <c r="M10" s="9" t="s">
        <v>242</v>
      </c>
    </row>
    <row r="11" spans="1:16" x14ac:dyDescent="0.35">
      <c r="A11" s="9" t="s">
        <v>322</v>
      </c>
      <c r="B11" s="9" t="s">
        <v>173</v>
      </c>
      <c r="C11" s="9" t="str">
        <f>IFERROR(INDEX(Facilities!B:B,MATCH(B11,Facilities!A:A,0)),"")</f>
        <v>St. Stephens Lodge</v>
      </c>
      <c r="D11" s="9" t="s">
        <v>323</v>
      </c>
      <c r="E11" s="9">
        <v>2026</v>
      </c>
      <c r="F11" s="33" t="s">
        <v>321</v>
      </c>
      <c r="G11" s="45" t="s">
        <v>324</v>
      </c>
      <c r="L11" s="21">
        <f t="shared" si="0"/>
        <v>0</v>
      </c>
    </row>
    <row r="12" spans="1:16" x14ac:dyDescent="0.35">
      <c r="L12" s="21">
        <f t="shared" si="0"/>
        <v>0</v>
      </c>
    </row>
    <row r="13" spans="1:16" x14ac:dyDescent="0.35">
      <c r="L13" s="21">
        <f t="shared" si="0"/>
        <v>0</v>
      </c>
    </row>
    <row r="14" spans="1:16" x14ac:dyDescent="0.35">
      <c r="L14" s="21">
        <f t="shared" si="0"/>
        <v>0</v>
      </c>
    </row>
    <row r="15" spans="1:16" x14ac:dyDescent="0.35">
      <c r="L15" s="21">
        <f t="shared" si="0"/>
        <v>0</v>
      </c>
    </row>
    <row r="16" spans="1:16" x14ac:dyDescent="0.35">
      <c r="L16" s="21">
        <f t="shared" si="0"/>
        <v>0</v>
      </c>
    </row>
    <row r="17" spans="12:12" x14ac:dyDescent="0.35">
      <c r="L17" s="21">
        <f t="shared" si="0"/>
        <v>0</v>
      </c>
    </row>
    <row r="18" spans="12:12" x14ac:dyDescent="0.35">
      <c r="L18" s="21">
        <f t="shared" si="0"/>
        <v>0</v>
      </c>
    </row>
    <row r="19" spans="12:12" x14ac:dyDescent="0.35">
      <c r="L19" s="21">
        <f t="shared" si="0"/>
        <v>0</v>
      </c>
    </row>
    <row r="20" spans="12:12" x14ac:dyDescent="0.35">
      <c r="L20" s="21">
        <f t="shared" si="0"/>
        <v>0</v>
      </c>
    </row>
    <row r="21" spans="12:12" x14ac:dyDescent="0.35">
      <c r="L21" s="21">
        <f t="shared" si="0"/>
        <v>0</v>
      </c>
    </row>
    <row r="22" spans="12:12" x14ac:dyDescent="0.35">
      <c r="L22" s="21">
        <f t="shared" si="0"/>
        <v>0</v>
      </c>
    </row>
    <row r="23" spans="12:12" x14ac:dyDescent="0.35">
      <c r="L23" s="21">
        <f t="shared" si="0"/>
        <v>0</v>
      </c>
    </row>
    <row r="24" spans="12:12" x14ac:dyDescent="0.35">
      <c r="L24" s="21">
        <f t="shared" si="0"/>
        <v>0</v>
      </c>
    </row>
    <row r="25" spans="12:12" x14ac:dyDescent="0.35">
      <c r="L25" s="21">
        <f t="shared" si="0"/>
        <v>0</v>
      </c>
    </row>
    <row r="26" spans="12:12" x14ac:dyDescent="0.35">
      <c r="L26" s="21">
        <f t="shared" si="0"/>
        <v>0</v>
      </c>
    </row>
    <row r="27" spans="12:12" x14ac:dyDescent="0.35">
      <c r="L27" s="21">
        <f t="shared" si="0"/>
        <v>0</v>
      </c>
    </row>
    <row r="28" spans="12:12" x14ac:dyDescent="0.35">
      <c r="L28" s="21">
        <f t="shared" si="0"/>
        <v>0</v>
      </c>
    </row>
    <row r="29" spans="12:12" x14ac:dyDescent="0.35">
      <c r="L29" s="21">
        <f t="shared" si="0"/>
        <v>0</v>
      </c>
    </row>
    <row r="30" spans="12:12" x14ac:dyDescent="0.35">
      <c r="L30" s="21">
        <f t="shared" si="0"/>
        <v>0</v>
      </c>
    </row>
    <row r="31" spans="12:12" x14ac:dyDescent="0.35">
      <c r="L31" s="21">
        <f t="shared" si="0"/>
        <v>0</v>
      </c>
    </row>
    <row r="32" spans="12:12" x14ac:dyDescent="0.35">
      <c r="L32" s="21">
        <f t="shared" si="0"/>
        <v>0</v>
      </c>
    </row>
    <row r="33" spans="12:12" x14ac:dyDescent="0.35">
      <c r="L33" s="21">
        <f t="shared" si="0"/>
        <v>0</v>
      </c>
    </row>
    <row r="34" spans="12:12" x14ac:dyDescent="0.35">
      <c r="L34" s="21">
        <f t="shared" si="0"/>
        <v>0</v>
      </c>
    </row>
    <row r="35" spans="12:12" x14ac:dyDescent="0.35">
      <c r="L35" s="21">
        <f t="shared" si="0"/>
        <v>0</v>
      </c>
    </row>
    <row r="36" spans="12:12" x14ac:dyDescent="0.35">
      <c r="L36" s="21">
        <f t="shared" si="0"/>
        <v>0</v>
      </c>
    </row>
    <row r="37" spans="12:12" x14ac:dyDescent="0.35">
      <c r="L37" s="21">
        <f t="shared" si="0"/>
        <v>0</v>
      </c>
    </row>
    <row r="38" spans="12:12" x14ac:dyDescent="0.35">
      <c r="L38" s="21">
        <f t="shared" si="0"/>
        <v>0</v>
      </c>
    </row>
    <row r="39" spans="12:12" x14ac:dyDescent="0.35">
      <c r="L39" s="21">
        <f t="shared" si="0"/>
        <v>0</v>
      </c>
    </row>
    <row r="40" spans="12:12" x14ac:dyDescent="0.35">
      <c r="L40" s="21">
        <f t="shared" si="0"/>
        <v>0</v>
      </c>
    </row>
    <row r="41" spans="12:12" x14ac:dyDescent="0.35">
      <c r="L41" s="21">
        <f t="shared" si="0"/>
        <v>0</v>
      </c>
    </row>
    <row r="42" spans="12:12" x14ac:dyDescent="0.35">
      <c r="L42" s="21">
        <f t="shared" si="0"/>
        <v>0</v>
      </c>
    </row>
    <row r="43" spans="12:12" x14ac:dyDescent="0.35">
      <c r="L43" s="21">
        <f t="shared" si="0"/>
        <v>0</v>
      </c>
    </row>
    <row r="44" spans="12:12" x14ac:dyDescent="0.35">
      <c r="L44" s="21">
        <f t="shared" si="0"/>
        <v>0</v>
      </c>
    </row>
    <row r="45" spans="12:12" x14ac:dyDescent="0.35">
      <c r="L45" s="21">
        <f t="shared" si="0"/>
        <v>0</v>
      </c>
    </row>
    <row r="46" spans="12:12" x14ac:dyDescent="0.35">
      <c r="L46" s="21">
        <f t="shared" si="0"/>
        <v>0</v>
      </c>
    </row>
    <row r="47" spans="12:12" x14ac:dyDescent="0.35">
      <c r="L47" s="21">
        <f t="shared" si="0"/>
        <v>0</v>
      </c>
    </row>
    <row r="48" spans="12:12" x14ac:dyDescent="0.35">
      <c r="L48" s="21">
        <f t="shared" si="0"/>
        <v>0</v>
      </c>
    </row>
    <row r="49" spans="12:12" x14ac:dyDescent="0.35">
      <c r="L49" s="21">
        <f t="shared" si="0"/>
        <v>0</v>
      </c>
    </row>
    <row r="50" spans="12:12" x14ac:dyDescent="0.35">
      <c r="L50" s="21">
        <f t="shared" si="0"/>
        <v>0</v>
      </c>
    </row>
    <row r="51" spans="12:12" x14ac:dyDescent="0.35">
      <c r="L51" s="21">
        <f t="shared" si="0"/>
        <v>0</v>
      </c>
    </row>
    <row r="52" spans="12:12" x14ac:dyDescent="0.35">
      <c r="L52" s="21">
        <f t="shared" si="0"/>
        <v>0</v>
      </c>
    </row>
    <row r="53" spans="12:12" x14ac:dyDescent="0.35">
      <c r="L53" s="21">
        <f t="shared" si="0"/>
        <v>0</v>
      </c>
    </row>
    <row r="54" spans="12:12" x14ac:dyDescent="0.35">
      <c r="L54" s="21">
        <f t="shared" si="0"/>
        <v>0</v>
      </c>
    </row>
    <row r="55" spans="12:12" x14ac:dyDescent="0.35">
      <c r="L55" s="21">
        <f t="shared" si="0"/>
        <v>0</v>
      </c>
    </row>
    <row r="56" spans="12:12" x14ac:dyDescent="0.35">
      <c r="L56" s="21">
        <f t="shared" si="0"/>
        <v>0</v>
      </c>
    </row>
    <row r="57" spans="12:12" x14ac:dyDescent="0.35">
      <c r="L57" s="21">
        <f t="shared" si="0"/>
        <v>0</v>
      </c>
    </row>
    <row r="58" spans="12:12" x14ac:dyDescent="0.35">
      <c r="L58" s="21">
        <f t="shared" si="0"/>
        <v>0</v>
      </c>
    </row>
    <row r="59" spans="12:12" x14ac:dyDescent="0.35">
      <c r="L59" s="21">
        <f t="shared" si="0"/>
        <v>0</v>
      </c>
    </row>
    <row r="60" spans="12:12" x14ac:dyDescent="0.35">
      <c r="L60" s="21">
        <f t="shared" si="0"/>
        <v>0</v>
      </c>
    </row>
    <row r="61" spans="12:12" x14ac:dyDescent="0.35">
      <c r="L61" s="21">
        <f t="shared" si="0"/>
        <v>0</v>
      </c>
    </row>
    <row r="62" spans="12:12" x14ac:dyDescent="0.35">
      <c r="L62" s="21">
        <f t="shared" si="0"/>
        <v>0</v>
      </c>
    </row>
    <row r="63" spans="12:12" x14ac:dyDescent="0.35">
      <c r="L63" s="21">
        <f t="shared" si="0"/>
        <v>0</v>
      </c>
    </row>
    <row r="64" spans="12:12" x14ac:dyDescent="0.35">
      <c r="L64" s="21">
        <f t="shared" si="0"/>
        <v>0</v>
      </c>
    </row>
    <row r="65" spans="12:12" x14ac:dyDescent="0.35">
      <c r="L65" s="21">
        <f t="shared" si="0"/>
        <v>0</v>
      </c>
    </row>
    <row r="66" spans="12:12" x14ac:dyDescent="0.35">
      <c r="L66" s="21">
        <f t="shared" si="0"/>
        <v>0</v>
      </c>
    </row>
    <row r="67" spans="12:12" x14ac:dyDescent="0.35">
      <c r="L67" s="21">
        <f t="shared" si="0"/>
        <v>0</v>
      </c>
    </row>
    <row r="68" spans="12:12" x14ac:dyDescent="0.35">
      <c r="L68" s="21">
        <f t="shared" ref="L68:L131" si="1">IFERROR(J68+K68,"")</f>
        <v>0</v>
      </c>
    </row>
    <row r="69" spans="12:12" x14ac:dyDescent="0.35">
      <c r="L69" s="21">
        <f t="shared" si="1"/>
        <v>0</v>
      </c>
    </row>
    <row r="70" spans="12:12" x14ac:dyDescent="0.35">
      <c r="L70" s="21">
        <f t="shared" si="1"/>
        <v>0</v>
      </c>
    </row>
    <row r="71" spans="12:12" x14ac:dyDescent="0.35">
      <c r="L71" s="21">
        <f t="shared" si="1"/>
        <v>0</v>
      </c>
    </row>
    <row r="72" spans="12:12" x14ac:dyDescent="0.35">
      <c r="L72" s="21">
        <f t="shared" si="1"/>
        <v>0</v>
      </c>
    </row>
    <row r="73" spans="12:12" x14ac:dyDescent="0.35">
      <c r="L73" s="21">
        <f t="shared" si="1"/>
        <v>0</v>
      </c>
    </row>
    <row r="74" spans="12:12" x14ac:dyDescent="0.35">
      <c r="L74" s="21">
        <f t="shared" si="1"/>
        <v>0</v>
      </c>
    </row>
    <row r="75" spans="12:12" x14ac:dyDescent="0.35">
      <c r="L75" s="21">
        <f t="shared" si="1"/>
        <v>0</v>
      </c>
    </row>
    <row r="76" spans="12:12" x14ac:dyDescent="0.35">
      <c r="L76" s="21">
        <f t="shared" si="1"/>
        <v>0</v>
      </c>
    </row>
    <row r="77" spans="12:12" x14ac:dyDescent="0.35">
      <c r="L77" s="21">
        <f t="shared" si="1"/>
        <v>0</v>
      </c>
    </row>
    <row r="78" spans="12:12" x14ac:dyDescent="0.35">
      <c r="L78" s="21">
        <f t="shared" si="1"/>
        <v>0</v>
      </c>
    </row>
    <row r="79" spans="12:12" x14ac:dyDescent="0.35">
      <c r="L79" s="21">
        <f t="shared" si="1"/>
        <v>0</v>
      </c>
    </row>
    <row r="80" spans="12:12" x14ac:dyDescent="0.35">
      <c r="L80" s="21">
        <f t="shared" si="1"/>
        <v>0</v>
      </c>
    </row>
    <row r="81" spans="12:12" x14ac:dyDescent="0.35">
      <c r="L81" s="21">
        <f t="shared" si="1"/>
        <v>0</v>
      </c>
    </row>
    <row r="82" spans="12:12" x14ac:dyDescent="0.35">
      <c r="L82" s="21">
        <f t="shared" si="1"/>
        <v>0</v>
      </c>
    </row>
    <row r="83" spans="12:12" x14ac:dyDescent="0.35">
      <c r="L83" s="21">
        <f t="shared" si="1"/>
        <v>0</v>
      </c>
    </row>
    <row r="84" spans="12:12" x14ac:dyDescent="0.35">
      <c r="L84" s="21">
        <f t="shared" si="1"/>
        <v>0</v>
      </c>
    </row>
    <row r="85" spans="12:12" x14ac:dyDescent="0.35">
      <c r="L85" s="21">
        <f t="shared" si="1"/>
        <v>0</v>
      </c>
    </row>
    <row r="86" spans="12:12" x14ac:dyDescent="0.35">
      <c r="L86" s="21">
        <f t="shared" si="1"/>
        <v>0</v>
      </c>
    </row>
    <row r="87" spans="12:12" x14ac:dyDescent="0.35">
      <c r="L87" s="21">
        <f t="shared" si="1"/>
        <v>0</v>
      </c>
    </row>
    <row r="88" spans="12:12" x14ac:dyDescent="0.35">
      <c r="L88" s="21">
        <f t="shared" si="1"/>
        <v>0</v>
      </c>
    </row>
    <row r="89" spans="12:12" x14ac:dyDescent="0.35">
      <c r="L89" s="21">
        <f t="shared" si="1"/>
        <v>0</v>
      </c>
    </row>
    <row r="90" spans="12:12" x14ac:dyDescent="0.35">
      <c r="L90" s="21">
        <f t="shared" si="1"/>
        <v>0</v>
      </c>
    </row>
    <row r="91" spans="12:12" x14ac:dyDescent="0.35">
      <c r="L91" s="21">
        <f t="shared" si="1"/>
        <v>0</v>
      </c>
    </row>
    <row r="92" spans="12:12" x14ac:dyDescent="0.35">
      <c r="L92" s="21">
        <f t="shared" si="1"/>
        <v>0</v>
      </c>
    </row>
    <row r="93" spans="12:12" x14ac:dyDescent="0.35">
      <c r="L93" s="21">
        <f t="shared" si="1"/>
        <v>0</v>
      </c>
    </row>
    <row r="94" spans="12:12" x14ac:dyDescent="0.35">
      <c r="L94" s="21">
        <f t="shared" si="1"/>
        <v>0</v>
      </c>
    </row>
    <row r="95" spans="12:12" x14ac:dyDescent="0.35">
      <c r="L95" s="21">
        <f t="shared" si="1"/>
        <v>0</v>
      </c>
    </row>
    <row r="96" spans="12:12" x14ac:dyDescent="0.35">
      <c r="L96" s="21">
        <f t="shared" si="1"/>
        <v>0</v>
      </c>
    </row>
    <row r="97" spans="12:12" x14ac:dyDescent="0.35">
      <c r="L97" s="21">
        <f t="shared" si="1"/>
        <v>0</v>
      </c>
    </row>
    <row r="98" spans="12:12" x14ac:dyDescent="0.35">
      <c r="L98" s="21">
        <f t="shared" si="1"/>
        <v>0</v>
      </c>
    </row>
    <row r="99" spans="12:12" x14ac:dyDescent="0.35">
      <c r="L99" s="21">
        <f t="shared" si="1"/>
        <v>0</v>
      </c>
    </row>
    <row r="100" spans="12:12" x14ac:dyDescent="0.35">
      <c r="L100" s="21">
        <f t="shared" si="1"/>
        <v>0</v>
      </c>
    </row>
    <row r="101" spans="12:12" x14ac:dyDescent="0.35">
      <c r="L101" s="21">
        <f t="shared" si="1"/>
        <v>0</v>
      </c>
    </row>
    <row r="102" spans="12:12" x14ac:dyDescent="0.35">
      <c r="L102" s="21">
        <f t="shared" si="1"/>
        <v>0</v>
      </c>
    </row>
    <row r="103" spans="12:12" x14ac:dyDescent="0.35">
      <c r="L103" s="21">
        <f t="shared" si="1"/>
        <v>0</v>
      </c>
    </row>
    <row r="104" spans="12:12" x14ac:dyDescent="0.35">
      <c r="L104" s="21">
        <f t="shared" si="1"/>
        <v>0</v>
      </c>
    </row>
    <row r="105" spans="12:12" x14ac:dyDescent="0.35">
      <c r="L105" s="21">
        <f t="shared" si="1"/>
        <v>0</v>
      </c>
    </row>
    <row r="106" spans="12:12" x14ac:dyDescent="0.35">
      <c r="L106" s="21">
        <f t="shared" si="1"/>
        <v>0</v>
      </c>
    </row>
    <row r="107" spans="12:12" x14ac:dyDescent="0.35">
      <c r="L107" s="21">
        <f t="shared" si="1"/>
        <v>0</v>
      </c>
    </row>
    <row r="108" spans="12:12" x14ac:dyDescent="0.35">
      <c r="L108" s="21">
        <f t="shared" si="1"/>
        <v>0</v>
      </c>
    </row>
    <row r="109" spans="12:12" x14ac:dyDescent="0.35">
      <c r="L109" s="21">
        <f t="shared" si="1"/>
        <v>0</v>
      </c>
    </row>
    <row r="110" spans="12:12" x14ac:dyDescent="0.35">
      <c r="L110" s="21">
        <f t="shared" si="1"/>
        <v>0</v>
      </c>
    </row>
    <row r="111" spans="12:12" x14ac:dyDescent="0.35">
      <c r="L111" s="21">
        <f t="shared" si="1"/>
        <v>0</v>
      </c>
    </row>
    <row r="112" spans="12:12" x14ac:dyDescent="0.35">
      <c r="L112" s="21">
        <f t="shared" si="1"/>
        <v>0</v>
      </c>
    </row>
    <row r="113" spans="12:12" x14ac:dyDescent="0.35">
      <c r="L113" s="21">
        <f t="shared" si="1"/>
        <v>0</v>
      </c>
    </row>
    <row r="114" spans="12:12" x14ac:dyDescent="0.35">
      <c r="L114" s="21">
        <f t="shared" si="1"/>
        <v>0</v>
      </c>
    </row>
    <row r="115" spans="12:12" x14ac:dyDescent="0.35">
      <c r="L115" s="21">
        <f t="shared" si="1"/>
        <v>0</v>
      </c>
    </row>
    <row r="116" spans="12:12" x14ac:dyDescent="0.35">
      <c r="L116" s="21">
        <f t="shared" si="1"/>
        <v>0</v>
      </c>
    </row>
    <row r="117" spans="12:12" x14ac:dyDescent="0.35">
      <c r="L117" s="21">
        <f t="shared" si="1"/>
        <v>0</v>
      </c>
    </row>
    <row r="118" spans="12:12" x14ac:dyDescent="0.35">
      <c r="L118" s="21">
        <f t="shared" si="1"/>
        <v>0</v>
      </c>
    </row>
    <row r="119" spans="12:12" x14ac:dyDescent="0.35">
      <c r="L119" s="21">
        <f t="shared" si="1"/>
        <v>0</v>
      </c>
    </row>
    <row r="120" spans="12:12" x14ac:dyDescent="0.35">
      <c r="L120" s="21">
        <f t="shared" si="1"/>
        <v>0</v>
      </c>
    </row>
    <row r="121" spans="12:12" x14ac:dyDescent="0.35">
      <c r="L121" s="21">
        <f t="shared" si="1"/>
        <v>0</v>
      </c>
    </row>
    <row r="122" spans="12:12" x14ac:dyDescent="0.35">
      <c r="L122" s="21">
        <f t="shared" si="1"/>
        <v>0</v>
      </c>
    </row>
    <row r="123" spans="12:12" x14ac:dyDescent="0.35">
      <c r="L123" s="21">
        <f t="shared" si="1"/>
        <v>0</v>
      </c>
    </row>
    <row r="124" spans="12:12" x14ac:dyDescent="0.35">
      <c r="L124" s="21">
        <f t="shared" si="1"/>
        <v>0</v>
      </c>
    </row>
    <row r="125" spans="12:12" x14ac:dyDescent="0.35">
      <c r="L125" s="21">
        <f t="shared" si="1"/>
        <v>0</v>
      </c>
    </row>
    <row r="126" spans="12:12" x14ac:dyDescent="0.35">
      <c r="L126" s="21">
        <f t="shared" si="1"/>
        <v>0</v>
      </c>
    </row>
    <row r="127" spans="12:12" x14ac:dyDescent="0.35">
      <c r="L127" s="21">
        <f t="shared" si="1"/>
        <v>0</v>
      </c>
    </row>
    <row r="128" spans="12:12" x14ac:dyDescent="0.35">
      <c r="L128" s="21">
        <f t="shared" si="1"/>
        <v>0</v>
      </c>
    </row>
    <row r="129" spans="12:12" x14ac:dyDescent="0.35">
      <c r="L129" s="21">
        <f t="shared" si="1"/>
        <v>0</v>
      </c>
    </row>
    <row r="130" spans="12:12" x14ac:dyDescent="0.35">
      <c r="L130" s="21">
        <f t="shared" si="1"/>
        <v>0</v>
      </c>
    </row>
    <row r="131" spans="12:12" x14ac:dyDescent="0.35">
      <c r="L131" s="21">
        <f t="shared" si="1"/>
        <v>0</v>
      </c>
    </row>
    <row r="132" spans="12:12" x14ac:dyDescent="0.35">
      <c r="L132" s="21">
        <f t="shared" ref="L132:L195" si="2">IFERROR(J132+K132,"")</f>
        <v>0</v>
      </c>
    </row>
    <row r="133" spans="12:12" x14ac:dyDescent="0.35">
      <c r="L133" s="21">
        <f t="shared" si="2"/>
        <v>0</v>
      </c>
    </row>
    <row r="134" spans="12:12" x14ac:dyDescent="0.35">
      <c r="L134" s="21">
        <f t="shared" si="2"/>
        <v>0</v>
      </c>
    </row>
    <row r="135" spans="12:12" x14ac:dyDescent="0.35">
      <c r="L135" s="21">
        <f t="shared" si="2"/>
        <v>0</v>
      </c>
    </row>
    <row r="136" spans="12:12" x14ac:dyDescent="0.35">
      <c r="L136" s="21">
        <f t="shared" si="2"/>
        <v>0</v>
      </c>
    </row>
    <row r="137" spans="12:12" x14ac:dyDescent="0.35">
      <c r="L137" s="21">
        <f t="shared" si="2"/>
        <v>0</v>
      </c>
    </row>
    <row r="138" spans="12:12" x14ac:dyDescent="0.35">
      <c r="L138" s="21">
        <f t="shared" si="2"/>
        <v>0</v>
      </c>
    </row>
    <row r="139" spans="12:12" x14ac:dyDescent="0.35">
      <c r="L139" s="21">
        <f t="shared" si="2"/>
        <v>0</v>
      </c>
    </row>
    <row r="140" spans="12:12" x14ac:dyDescent="0.35">
      <c r="L140" s="21">
        <f t="shared" si="2"/>
        <v>0</v>
      </c>
    </row>
    <row r="141" spans="12:12" x14ac:dyDescent="0.35">
      <c r="L141" s="21">
        <f t="shared" si="2"/>
        <v>0</v>
      </c>
    </row>
    <row r="142" spans="12:12" x14ac:dyDescent="0.35">
      <c r="L142" s="21">
        <f t="shared" si="2"/>
        <v>0</v>
      </c>
    </row>
    <row r="143" spans="12:12" x14ac:dyDescent="0.35">
      <c r="L143" s="21">
        <f t="shared" si="2"/>
        <v>0</v>
      </c>
    </row>
    <row r="144" spans="12:12" x14ac:dyDescent="0.35">
      <c r="L144" s="21">
        <f t="shared" si="2"/>
        <v>0</v>
      </c>
    </row>
    <row r="145" spans="12:12" x14ac:dyDescent="0.35">
      <c r="L145" s="21">
        <f t="shared" si="2"/>
        <v>0</v>
      </c>
    </row>
    <row r="146" spans="12:12" x14ac:dyDescent="0.35">
      <c r="L146" s="21">
        <f t="shared" si="2"/>
        <v>0</v>
      </c>
    </row>
    <row r="147" spans="12:12" x14ac:dyDescent="0.35">
      <c r="L147" s="21">
        <f t="shared" si="2"/>
        <v>0</v>
      </c>
    </row>
    <row r="148" spans="12:12" x14ac:dyDescent="0.35">
      <c r="L148" s="21">
        <f t="shared" si="2"/>
        <v>0</v>
      </c>
    </row>
    <row r="149" spans="12:12" x14ac:dyDescent="0.35">
      <c r="L149" s="21">
        <f t="shared" si="2"/>
        <v>0</v>
      </c>
    </row>
    <row r="150" spans="12:12" x14ac:dyDescent="0.35">
      <c r="L150" s="21">
        <f t="shared" si="2"/>
        <v>0</v>
      </c>
    </row>
    <row r="151" spans="12:12" x14ac:dyDescent="0.35">
      <c r="L151" s="21">
        <f t="shared" si="2"/>
        <v>0</v>
      </c>
    </row>
    <row r="152" spans="12:12" x14ac:dyDescent="0.35">
      <c r="L152" s="21">
        <f t="shared" si="2"/>
        <v>0</v>
      </c>
    </row>
    <row r="153" spans="12:12" x14ac:dyDescent="0.35">
      <c r="L153" s="21">
        <f t="shared" si="2"/>
        <v>0</v>
      </c>
    </row>
    <row r="154" spans="12:12" x14ac:dyDescent="0.35">
      <c r="L154" s="21">
        <f t="shared" si="2"/>
        <v>0</v>
      </c>
    </row>
    <row r="155" spans="12:12" x14ac:dyDescent="0.35">
      <c r="L155" s="21">
        <f t="shared" si="2"/>
        <v>0</v>
      </c>
    </row>
    <row r="156" spans="12:12" x14ac:dyDescent="0.35">
      <c r="L156" s="21">
        <f t="shared" si="2"/>
        <v>0</v>
      </c>
    </row>
    <row r="157" spans="12:12" x14ac:dyDescent="0.35">
      <c r="L157" s="21">
        <f t="shared" si="2"/>
        <v>0</v>
      </c>
    </row>
    <row r="158" spans="12:12" x14ac:dyDescent="0.35">
      <c r="L158" s="21">
        <f t="shared" si="2"/>
        <v>0</v>
      </c>
    </row>
    <row r="159" spans="12:12" x14ac:dyDescent="0.35">
      <c r="L159" s="21">
        <f t="shared" si="2"/>
        <v>0</v>
      </c>
    </row>
    <row r="160" spans="12:12" x14ac:dyDescent="0.35">
      <c r="L160" s="21">
        <f t="shared" si="2"/>
        <v>0</v>
      </c>
    </row>
    <row r="161" spans="12:12" x14ac:dyDescent="0.35">
      <c r="L161" s="21">
        <f t="shared" si="2"/>
        <v>0</v>
      </c>
    </row>
    <row r="162" spans="12:12" x14ac:dyDescent="0.35">
      <c r="L162" s="21">
        <f t="shared" si="2"/>
        <v>0</v>
      </c>
    </row>
    <row r="163" spans="12:12" x14ac:dyDescent="0.35">
      <c r="L163" s="21">
        <f t="shared" si="2"/>
        <v>0</v>
      </c>
    </row>
    <row r="164" spans="12:12" x14ac:dyDescent="0.35">
      <c r="L164" s="21">
        <f t="shared" si="2"/>
        <v>0</v>
      </c>
    </row>
    <row r="165" spans="12:12" x14ac:dyDescent="0.35">
      <c r="L165" s="21">
        <f t="shared" si="2"/>
        <v>0</v>
      </c>
    </row>
    <row r="166" spans="12:12" x14ac:dyDescent="0.35">
      <c r="L166" s="21">
        <f t="shared" si="2"/>
        <v>0</v>
      </c>
    </row>
    <row r="167" spans="12:12" x14ac:dyDescent="0.35">
      <c r="L167" s="21">
        <f t="shared" si="2"/>
        <v>0</v>
      </c>
    </row>
    <row r="168" spans="12:12" x14ac:dyDescent="0.35">
      <c r="L168" s="21">
        <f t="shared" si="2"/>
        <v>0</v>
      </c>
    </row>
    <row r="169" spans="12:12" x14ac:dyDescent="0.35">
      <c r="L169" s="21">
        <f t="shared" si="2"/>
        <v>0</v>
      </c>
    </row>
    <row r="170" spans="12:12" x14ac:dyDescent="0.35">
      <c r="L170" s="21">
        <f t="shared" si="2"/>
        <v>0</v>
      </c>
    </row>
    <row r="171" spans="12:12" x14ac:dyDescent="0.35">
      <c r="L171" s="21">
        <f t="shared" si="2"/>
        <v>0</v>
      </c>
    </row>
    <row r="172" spans="12:12" x14ac:dyDescent="0.35">
      <c r="L172" s="21">
        <f t="shared" si="2"/>
        <v>0</v>
      </c>
    </row>
    <row r="173" spans="12:12" x14ac:dyDescent="0.35">
      <c r="L173" s="21">
        <f t="shared" si="2"/>
        <v>0</v>
      </c>
    </row>
    <row r="174" spans="12:12" x14ac:dyDescent="0.35">
      <c r="L174" s="21">
        <f t="shared" si="2"/>
        <v>0</v>
      </c>
    </row>
    <row r="175" spans="12:12" x14ac:dyDescent="0.35">
      <c r="L175" s="21">
        <f t="shared" si="2"/>
        <v>0</v>
      </c>
    </row>
    <row r="176" spans="12:12" x14ac:dyDescent="0.35">
      <c r="L176" s="21">
        <f t="shared" si="2"/>
        <v>0</v>
      </c>
    </row>
    <row r="177" spans="12:12" x14ac:dyDescent="0.35">
      <c r="L177" s="21">
        <f t="shared" si="2"/>
        <v>0</v>
      </c>
    </row>
    <row r="178" spans="12:12" x14ac:dyDescent="0.35">
      <c r="L178" s="21">
        <f t="shared" si="2"/>
        <v>0</v>
      </c>
    </row>
    <row r="179" spans="12:12" x14ac:dyDescent="0.35">
      <c r="L179" s="21">
        <f t="shared" si="2"/>
        <v>0</v>
      </c>
    </row>
    <row r="180" spans="12:12" x14ac:dyDescent="0.35">
      <c r="L180" s="21">
        <f t="shared" si="2"/>
        <v>0</v>
      </c>
    </row>
    <row r="181" spans="12:12" x14ac:dyDescent="0.35">
      <c r="L181" s="21">
        <f t="shared" si="2"/>
        <v>0</v>
      </c>
    </row>
    <row r="182" spans="12:12" x14ac:dyDescent="0.35">
      <c r="L182" s="21">
        <f t="shared" si="2"/>
        <v>0</v>
      </c>
    </row>
    <row r="183" spans="12:12" x14ac:dyDescent="0.35">
      <c r="L183" s="21">
        <f t="shared" si="2"/>
        <v>0</v>
      </c>
    </row>
    <row r="184" spans="12:12" x14ac:dyDescent="0.35">
      <c r="L184" s="21">
        <f t="shared" si="2"/>
        <v>0</v>
      </c>
    </row>
    <row r="185" spans="12:12" x14ac:dyDescent="0.35">
      <c r="L185" s="21">
        <f t="shared" si="2"/>
        <v>0</v>
      </c>
    </row>
    <row r="186" spans="12:12" x14ac:dyDescent="0.35">
      <c r="L186" s="21">
        <f t="shared" si="2"/>
        <v>0</v>
      </c>
    </row>
    <row r="187" spans="12:12" x14ac:dyDescent="0.35">
      <c r="L187" s="21">
        <f t="shared" si="2"/>
        <v>0</v>
      </c>
    </row>
    <row r="188" spans="12:12" x14ac:dyDescent="0.35">
      <c r="L188" s="21">
        <f t="shared" si="2"/>
        <v>0</v>
      </c>
    </row>
    <row r="189" spans="12:12" x14ac:dyDescent="0.35">
      <c r="L189" s="21">
        <f t="shared" si="2"/>
        <v>0</v>
      </c>
    </row>
    <row r="190" spans="12:12" x14ac:dyDescent="0.35">
      <c r="L190" s="21">
        <f t="shared" si="2"/>
        <v>0</v>
      </c>
    </row>
    <row r="191" spans="12:12" x14ac:dyDescent="0.35">
      <c r="L191" s="21">
        <f t="shared" si="2"/>
        <v>0</v>
      </c>
    </row>
    <row r="192" spans="12:12" x14ac:dyDescent="0.35">
      <c r="L192" s="21">
        <f t="shared" si="2"/>
        <v>0</v>
      </c>
    </row>
    <row r="193" spans="12:12" x14ac:dyDescent="0.35">
      <c r="L193" s="21">
        <f t="shared" si="2"/>
        <v>0</v>
      </c>
    </row>
    <row r="194" spans="12:12" x14ac:dyDescent="0.35">
      <c r="L194" s="21">
        <f t="shared" si="2"/>
        <v>0</v>
      </c>
    </row>
    <row r="195" spans="12:12" x14ac:dyDescent="0.35">
      <c r="L195" s="21">
        <f t="shared" si="2"/>
        <v>0</v>
      </c>
    </row>
    <row r="196" spans="12:12" x14ac:dyDescent="0.35">
      <c r="L196" s="21">
        <f t="shared" ref="L196:L259" si="3">IFERROR(J196+K196,"")</f>
        <v>0</v>
      </c>
    </row>
    <row r="197" spans="12:12" x14ac:dyDescent="0.35">
      <c r="L197" s="21">
        <f t="shared" si="3"/>
        <v>0</v>
      </c>
    </row>
    <row r="198" spans="12:12" x14ac:dyDescent="0.35">
      <c r="L198" s="21">
        <f t="shared" si="3"/>
        <v>0</v>
      </c>
    </row>
    <row r="199" spans="12:12" x14ac:dyDescent="0.35">
      <c r="L199" s="21">
        <f t="shared" si="3"/>
        <v>0</v>
      </c>
    </row>
    <row r="200" spans="12:12" x14ac:dyDescent="0.35">
      <c r="L200" s="21">
        <f t="shared" si="3"/>
        <v>0</v>
      </c>
    </row>
    <row r="201" spans="12:12" x14ac:dyDescent="0.35">
      <c r="L201" s="21">
        <f t="shared" si="3"/>
        <v>0</v>
      </c>
    </row>
    <row r="202" spans="12:12" x14ac:dyDescent="0.35">
      <c r="L202" s="21">
        <f t="shared" si="3"/>
        <v>0</v>
      </c>
    </row>
    <row r="203" spans="12:12" x14ac:dyDescent="0.35">
      <c r="L203" s="21">
        <f t="shared" si="3"/>
        <v>0</v>
      </c>
    </row>
    <row r="204" spans="12:12" x14ac:dyDescent="0.35">
      <c r="L204" s="21">
        <f t="shared" si="3"/>
        <v>0</v>
      </c>
    </row>
    <row r="205" spans="12:12" x14ac:dyDescent="0.35">
      <c r="L205" s="21">
        <f t="shared" si="3"/>
        <v>0</v>
      </c>
    </row>
    <row r="206" spans="12:12" x14ac:dyDescent="0.35">
      <c r="L206" s="21">
        <f t="shared" si="3"/>
        <v>0</v>
      </c>
    </row>
    <row r="207" spans="12:12" x14ac:dyDescent="0.35">
      <c r="L207" s="21">
        <f t="shared" si="3"/>
        <v>0</v>
      </c>
    </row>
    <row r="208" spans="12:12" x14ac:dyDescent="0.35">
      <c r="L208" s="21">
        <f t="shared" si="3"/>
        <v>0</v>
      </c>
    </row>
    <row r="209" spans="12:12" x14ac:dyDescent="0.35">
      <c r="L209" s="21">
        <f t="shared" si="3"/>
        <v>0</v>
      </c>
    </row>
    <row r="210" spans="12:12" x14ac:dyDescent="0.35">
      <c r="L210" s="21">
        <f t="shared" si="3"/>
        <v>0</v>
      </c>
    </row>
    <row r="211" spans="12:12" x14ac:dyDescent="0.35">
      <c r="L211" s="21">
        <f t="shared" si="3"/>
        <v>0</v>
      </c>
    </row>
    <row r="212" spans="12:12" x14ac:dyDescent="0.35">
      <c r="L212" s="21">
        <f t="shared" si="3"/>
        <v>0</v>
      </c>
    </row>
    <row r="213" spans="12:12" x14ac:dyDescent="0.35">
      <c r="L213" s="21">
        <f t="shared" si="3"/>
        <v>0</v>
      </c>
    </row>
    <row r="214" spans="12:12" x14ac:dyDescent="0.35">
      <c r="L214" s="21">
        <f t="shared" si="3"/>
        <v>0</v>
      </c>
    </row>
    <row r="215" spans="12:12" x14ac:dyDescent="0.35">
      <c r="L215" s="21">
        <f t="shared" si="3"/>
        <v>0</v>
      </c>
    </row>
    <row r="216" spans="12:12" x14ac:dyDescent="0.35">
      <c r="L216" s="21">
        <f t="shared" si="3"/>
        <v>0</v>
      </c>
    </row>
    <row r="217" spans="12:12" x14ac:dyDescent="0.35">
      <c r="L217" s="21">
        <f t="shared" si="3"/>
        <v>0</v>
      </c>
    </row>
    <row r="218" spans="12:12" x14ac:dyDescent="0.35">
      <c r="L218" s="21">
        <f t="shared" si="3"/>
        <v>0</v>
      </c>
    </row>
    <row r="219" spans="12:12" x14ac:dyDescent="0.35">
      <c r="L219" s="21">
        <f t="shared" si="3"/>
        <v>0</v>
      </c>
    </row>
    <row r="220" spans="12:12" x14ac:dyDescent="0.35">
      <c r="L220" s="21">
        <f t="shared" si="3"/>
        <v>0</v>
      </c>
    </row>
    <row r="221" spans="12:12" x14ac:dyDescent="0.35">
      <c r="L221" s="21">
        <f t="shared" si="3"/>
        <v>0</v>
      </c>
    </row>
    <row r="222" spans="12:12" x14ac:dyDescent="0.35">
      <c r="L222" s="21">
        <f t="shared" si="3"/>
        <v>0</v>
      </c>
    </row>
    <row r="223" spans="12:12" x14ac:dyDescent="0.35">
      <c r="L223" s="21">
        <f t="shared" si="3"/>
        <v>0</v>
      </c>
    </row>
    <row r="224" spans="12:12" x14ac:dyDescent="0.35">
      <c r="L224" s="21">
        <f t="shared" si="3"/>
        <v>0</v>
      </c>
    </row>
    <row r="225" spans="12:12" x14ac:dyDescent="0.35">
      <c r="L225" s="21">
        <f t="shared" si="3"/>
        <v>0</v>
      </c>
    </row>
    <row r="226" spans="12:12" x14ac:dyDescent="0.35">
      <c r="L226" s="21">
        <f t="shared" si="3"/>
        <v>0</v>
      </c>
    </row>
    <row r="227" spans="12:12" x14ac:dyDescent="0.35">
      <c r="L227" s="21">
        <f t="shared" si="3"/>
        <v>0</v>
      </c>
    </row>
    <row r="228" spans="12:12" x14ac:dyDescent="0.35">
      <c r="L228" s="21">
        <f t="shared" si="3"/>
        <v>0</v>
      </c>
    </row>
    <row r="229" spans="12:12" x14ac:dyDescent="0.35">
      <c r="L229" s="21">
        <f t="shared" si="3"/>
        <v>0</v>
      </c>
    </row>
    <row r="230" spans="12:12" x14ac:dyDescent="0.35">
      <c r="L230" s="21">
        <f t="shared" si="3"/>
        <v>0</v>
      </c>
    </row>
    <row r="231" spans="12:12" x14ac:dyDescent="0.35">
      <c r="L231" s="21">
        <f t="shared" si="3"/>
        <v>0</v>
      </c>
    </row>
    <row r="232" spans="12:12" x14ac:dyDescent="0.35">
      <c r="L232" s="21">
        <f t="shared" si="3"/>
        <v>0</v>
      </c>
    </row>
    <row r="233" spans="12:12" x14ac:dyDescent="0.35">
      <c r="L233" s="21">
        <f t="shared" si="3"/>
        <v>0</v>
      </c>
    </row>
    <row r="234" spans="12:12" x14ac:dyDescent="0.35">
      <c r="L234" s="21">
        <f t="shared" si="3"/>
        <v>0</v>
      </c>
    </row>
    <row r="235" spans="12:12" x14ac:dyDescent="0.35">
      <c r="L235" s="21">
        <f t="shared" si="3"/>
        <v>0</v>
      </c>
    </row>
    <row r="236" spans="12:12" x14ac:dyDescent="0.35">
      <c r="L236" s="21">
        <f t="shared" si="3"/>
        <v>0</v>
      </c>
    </row>
    <row r="237" spans="12:12" x14ac:dyDescent="0.35">
      <c r="L237" s="21">
        <f t="shared" si="3"/>
        <v>0</v>
      </c>
    </row>
    <row r="238" spans="12:12" x14ac:dyDescent="0.35">
      <c r="L238" s="21">
        <f t="shared" si="3"/>
        <v>0</v>
      </c>
    </row>
    <row r="239" spans="12:12" x14ac:dyDescent="0.35">
      <c r="L239" s="21">
        <f t="shared" si="3"/>
        <v>0</v>
      </c>
    </row>
    <row r="240" spans="12:12" x14ac:dyDescent="0.35">
      <c r="L240" s="21">
        <f t="shared" si="3"/>
        <v>0</v>
      </c>
    </row>
    <row r="241" spans="12:12" x14ac:dyDescent="0.35">
      <c r="L241" s="21">
        <f t="shared" si="3"/>
        <v>0</v>
      </c>
    </row>
    <row r="242" spans="12:12" x14ac:dyDescent="0.35">
      <c r="L242" s="21">
        <f t="shared" si="3"/>
        <v>0</v>
      </c>
    </row>
    <row r="243" spans="12:12" x14ac:dyDescent="0.35">
      <c r="L243" s="21">
        <f t="shared" si="3"/>
        <v>0</v>
      </c>
    </row>
    <row r="244" spans="12:12" x14ac:dyDescent="0.35">
      <c r="L244" s="21">
        <f t="shared" si="3"/>
        <v>0</v>
      </c>
    </row>
    <row r="245" spans="12:12" x14ac:dyDescent="0.35">
      <c r="L245" s="21">
        <f t="shared" si="3"/>
        <v>0</v>
      </c>
    </row>
    <row r="246" spans="12:12" x14ac:dyDescent="0.35">
      <c r="L246" s="21">
        <f t="shared" si="3"/>
        <v>0</v>
      </c>
    </row>
    <row r="247" spans="12:12" x14ac:dyDescent="0.35">
      <c r="L247" s="21">
        <f t="shared" si="3"/>
        <v>0</v>
      </c>
    </row>
    <row r="248" spans="12:12" x14ac:dyDescent="0.35">
      <c r="L248" s="21">
        <f t="shared" si="3"/>
        <v>0</v>
      </c>
    </row>
    <row r="249" spans="12:12" x14ac:dyDescent="0.35">
      <c r="L249" s="21">
        <f t="shared" si="3"/>
        <v>0</v>
      </c>
    </row>
    <row r="250" spans="12:12" x14ac:dyDescent="0.35">
      <c r="L250" s="21">
        <f t="shared" si="3"/>
        <v>0</v>
      </c>
    </row>
    <row r="251" spans="12:12" x14ac:dyDescent="0.35">
      <c r="L251" s="21">
        <f t="shared" si="3"/>
        <v>0</v>
      </c>
    </row>
    <row r="252" spans="12:12" x14ac:dyDescent="0.35">
      <c r="L252" s="21">
        <f t="shared" si="3"/>
        <v>0</v>
      </c>
    </row>
    <row r="253" spans="12:12" x14ac:dyDescent="0.35">
      <c r="L253" s="21">
        <f t="shared" si="3"/>
        <v>0</v>
      </c>
    </row>
    <row r="254" spans="12:12" x14ac:dyDescent="0.35">
      <c r="L254" s="21">
        <f t="shared" si="3"/>
        <v>0</v>
      </c>
    </row>
    <row r="255" spans="12:12" x14ac:dyDescent="0.35">
      <c r="L255" s="21">
        <f t="shared" si="3"/>
        <v>0</v>
      </c>
    </row>
    <row r="256" spans="12:12" x14ac:dyDescent="0.35">
      <c r="L256" s="21">
        <f t="shared" si="3"/>
        <v>0</v>
      </c>
    </row>
    <row r="257" spans="12:12" x14ac:dyDescent="0.35">
      <c r="L257" s="21">
        <f t="shared" si="3"/>
        <v>0</v>
      </c>
    </row>
    <row r="258" spans="12:12" x14ac:dyDescent="0.35">
      <c r="L258" s="21">
        <f t="shared" si="3"/>
        <v>0</v>
      </c>
    </row>
    <row r="259" spans="12:12" x14ac:dyDescent="0.35">
      <c r="L259" s="21">
        <f t="shared" si="3"/>
        <v>0</v>
      </c>
    </row>
    <row r="260" spans="12:12" x14ac:dyDescent="0.35">
      <c r="L260" s="21">
        <f t="shared" ref="L260:L323" si="4">IFERROR(J260+K260,"")</f>
        <v>0</v>
      </c>
    </row>
    <row r="261" spans="12:12" x14ac:dyDescent="0.35">
      <c r="L261" s="21">
        <f t="shared" si="4"/>
        <v>0</v>
      </c>
    </row>
    <row r="262" spans="12:12" x14ac:dyDescent="0.35">
      <c r="L262" s="21">
        <f t="shared" si="4"/>
        <v>0</v>
      </c>
    </row>
    <row r="263" spans="12:12" x14ac:dyDescent="0.35">
      <c r="L263" s="21">
        <f t="shared" si="4"/>
        <v>0</v>
      </c>
    </row>
    <row r="264" spans="12:12" x14ac:dyDescent="0.35">
      <c r="L264" s="21">
        <f t="shared" si="4"/>
        <v>0</v>
      </c>
    </row>
    <row r="265" spans="12:12" x14ac:dyDescent="0.35">
      <c r="L265" s="21">
        <f t="shared" si="4"/>
        <v>0</v>
      </c>
    </row>
    <row r="266" spans="12:12" x14ac:dyDescent="0.35">
      <c r="L266" s="21">
        <f t="shared" si="4"/>
        <v>0</v>
      </c>
    </row>
    <row r="267" spans="12:12" x14ac:dyDescent="0.35">
      <c r="L267" s="21">
        <f t="shared" si="4"/>
        <v>0</v>
      </c>
    </row>
    <row r="268" spans="12:12" x14ac:dyDescent="0.35">
      <c r="L268" s="21">
        <f t="shared" si="4"/>
        <v>0</v>
      </c>
    </row>
    <row r="269" spans="12:12" x14ac:dyDescent="0.35">
      <c r="L269" s="21">
        <f t="shared" si="4"/>
        <v>0</v>
      </c>
    </row>
    <row r="270" spans="12:12" x14ac:dyDescent="0.35">
      <c r="L270" s="21">
        <f t="shared" si="4"/>
        <v>0</v>
      </c>
    </row>
    <row r="271" spans="12:12" x14ac:dyDescent="0.35">
      <c r="L271" s="21">
        <f t="shared" si="4"/>
        <v>0</v>
      </c>
    </row>
    <row r="272" spans="12:12" x14ac:dyDescent="0.35">
      <c r="L272" s="21">
        <f t="shared" si="4"/>
        <v>0</v>
      </c>
    </row>
    <row r="273" spans="12:12" x14ac:dyDescent="0.35">
      <c r="L273" s="21">
        <f t="shared" si="4"/>
        <v>0</v>
      </c>
    </row>
    <row r="274" spans="12:12" x14ac:dyDescent="0.35">
      <c r="L274" s="21">
        <f t="shared" si="4"/>
        <v>0</v>
      </c>
    </row>
    <row r="275" spans="12:12" x14ac:dyDescent="0.35">
      <c r="L275" s="21">
        <f t="shared" si="4"/>
        <v>0</v>
      </c>
    </row>
    <row r="276" spans="12:12" x14ac:dyDescent="0.35">
      <c r="L276" s="21">
        <f t="shared" si="4"/>
        <v>0</v>
      </c>
    </row>
    <row r="277" spans="12:12" x14ac:dyDescent="0.35">
      <c r="L277" s="21">
        <f t="shared" si="4"/>
        <v>0</v>
      </c>
    </row>
    <row r="278" spans="12:12" x14ac:dyDescent="0.35">
      <c r="L278" s="21">
        <f t="shared" si="4"/>
        <v>0</v>
      </c>
    </row>
    <row r="279" spans="12:12" x14ac:dyDescent="0.35">
      <c r="L279" s="21">
        <f t="shared" si="4"/>
        <v>0</v>
      </c>
    </row>
    <row r="280" spans="12:12" x14ac:dyDescent="0.35">
      <c r="L280" s="21">
        <f t="shared" si="4"/>
        <v>0</v>
      </c>
    </row>
    <row r="281" spans="12:12" x14ac:dyDescent="0.35">
      <c r="L281" s="21">
        <f t="shared" si="4"/>
        <v>0</v>
      </c>
    </row>
    <row r="282" spans="12:12" x14ac:dyDescent="0.35">
      <c r="L282" s="21">
        <f t="shared" si="4"/>
        <v>0</v>
      </c>
    </row>
    <row r="283" spans="12:12" x14ac:dyDescent="0.35">
      <c r="L283" s="21">
        <f t="shared" si="4"/>
        <v>0</v>
      </c>
    </row>
    <row r="284" spans="12:12" x14ac:dyDescent="0.35">
      <c r="L284" s="21">
        <f t="shared" si="4"/>
        <v>0</v>
      </c>
    </row>
    <row r="285" spans="12:12" x14ac:dyDescent="0.35">
      <c r="L285" s="21">
        <f t="shared" si="4"/>
        <v>0</v>
      </c>
    </row>
    <row r="286" spans="12:12" x14ac:dyDescent="0.35">
      <c r="L286" s="21">
        <f t="shared" si="4"/>
        <v>0</v>
      </c>
    </row>
    <row r="287" spans="12:12" x14ac:dyDescent="0.35">
      <c r="L287" s="21">
        <f t="shared" si="4"/>
        <v>0</v>
      </c>
    </row>
    <row r="288" spans="12:12" x14ac:dyDescent="0.35">
      <c r="L288" s="21">
        <f t="shared" si="4"/>
        <v>0</v>
      </c>
    </row>
    <row r="289" spans="12:12" x14ac:dyDescent="0.35">
      <c r="L289" s="21">
        <f t="shared" si="4"/>
        <v>0</v>
      </c>
    </row>
    <row r="290" spans="12:12" x14ac:dyDescent="0.35">
      <c r="L290" s="21">
        <f t="shared" si="4"/>
        <v>0</v>
      </c>
    </row>
    <row r="291" spans="12:12" x14ac:dyDescent="0.35">
      <c r="L291" s="21">
        <f t="shared" si="4"/>
        <v>0</v>
      </c>
    </row>
    <row r="292" spans="12:12" x14ac:dyDescent="0.35">
      <c r="L292" s="21">
        <f t="shared" si="4"/>
        <v>0</v>
      </c>
    </row>
    <row r="293" spans="12:12" x14ac:dyDescent="0.35">
      <c r="L293" s="21">
        <f t="shared" si="4"/>
        <v>0</v>
      </c>
    </row>
    <row r="294" spans="12:12" x14ac:dyDescent="0.35">
      <c r="L294" s="21">
        <f t="shared" si="4"/>
        <v>0</v>
      </c>
    </row>
    <row r="295" spans="12:12" x14ac:dyDescent="0.35">
      <c r="L295" s="21">
        <f t="shared" si="4"/>
        <v>0</v>
      </c>
    </row>
    <row r="296" spans="12:12" x14ac:dyDescent="0.35">
      <c r="L296" s="21">
        <f t="shared" si="4"/>
        <v>0</v>
      </c>
    </row>
    <row r="297" spans="12:12" x14ac:dyDescent="0.35">
      <c r="L297" s="21">
        <f t="shared" si="4"/>
        <v>0</v>
      </c>
    </row>
    <row r="298" spans="12:12" x14ac:dyDescent="0.35">
      <c r="L298" s="21">
        <f t="shared" si="4"/>
        <v>0</v>
      </c>
    </row>
    <row r="299" spans="12:12" x14ac:dyDescent="0.35">
      <c r="L299" s="21">
        <f t="shared" si="4"/>
        <v>0</v>
      </c>
    </row>
    <row r="300" spans="12:12" x14ac:dyDescent="0.35">
      <c r="L300" s="21">
        <f t="shared" si="4"/>
        <v>0</v>
      </c>
    </row>
    <row r="301" spans="12:12" x14ac:dyDescent="0.35">
      <c r="L301" s="21">
        <f t="shared" si="4"/>
        <v>0</v>
      </c>
    </row>
    <row r="302" spans="12:12" x14ac:dyDescent="0.35">
      <c r="L302" s="21">
        <f t="shared" si="4"/>
        <v>0</v>
      </c>
    </row>
    <row r="303" spans="12:12" x14ac:dyDescent="0.35">
      <c r="L303" s="21">
        <f t="shared" si="4"/>
        <v>0</v>
      </c>
    </row>
    <row r="304" spans="12:12" x14ac:dyDescent="0.35">
      <c r="L304" s="21">
        <f t="shared" si="4"/>
        <v>0</v>
      </c>
    </row>
    <row r="305" spans="12:12" x14ac:dyDescent="0.35">
      <c r="L305" s="21">
        <f t="shared" si="4"/>
        <v>0</v>
      </c>
    </row>
    <row r="306" spans="12:12" x14ac:dyDescent="0.35">
      <c r="L306" s="21">
        <f t="shared" si="4"/>
        <v>0</v>
      </c>
    </row>
    <row r="307" spans="12:12" x14ac:dyDescent="0.35">
      <c r="L307" s="21">
        <f t="shared" si="4"/>
        <v>0</v>
      </c>
    </row>
    <row r="308" spans="12:12" x14ac:dyDescent="0.35">
      <c r="L308" s="21">
        <f t="shared" si="4"/>
        <v>0</v>
      </c>
    </row>
    <row r="309" spans="12:12" x14ac:dyDescent="0.35">
      <c r="L309" s="21">
        <f t="shared" si="4"/>
        <v>0</v>
      </c>
    </row>
    <row r="310" spans="12:12" x14ac:dyDescent="0.35">
      <c r="L310" s="21">
        <f t="shared" si="4"/>
        <v>0</v>
      </c>
    </row>
    <row r="311" spans="12:12" x14ac:dyDescent="0.35">
      <c r="L311" s="21">
        <f t="shared" si="4"/>
        <v>0</v>
      </c>
    </row>
    <row r="312" spans="12:12" x14ac:dyDescent="0.35">
      <c r="L312" s="21">
        <f t="shared" si="4"/>
        <v>0</v>
      </c>
    </row>
    <row r="313" spans="12:12" x14ac:dyDescent="0.35">
      <c r="L313" s="21">
        <f t="shared" si="4"/>
        <v>0</v>
      </c>
    </row>
    <row r="314" spans="12:12" x14ac:dyDescent="0.35">
      <c r="L314" s="21">
        <f t="shared" si="4"/>
        <v>0</v>
      </c>
    </row>
    <row r="315" spans="12:12" x14ac:dyDescent="0.35">
      <c r="L315" s="21">
        <f t="shared" si="4"/>
        <v>0</v>
      </c>
    </row>
    <row r="316" spans="12:12" x14ac:dyDescent="0.35">
      <c r="L316" s="21">
        <f t="shared" si="4"/>
        <v>0</v>
      </c>
    </row>
    <row r="317" spans="12:12" x14ac:dyDescent="0.35">
      <c r="L317" s="21">
        <f t="shared" si="4"/>
        <v>0</v>
      </c>
    </row>
    <row r="318" spans="12:12" x14ac:dyDescent="0.35">
      <c r="L318" s="21">
        <f t="shared" si="4"/>
        <v>0</v>
      </c>
    </row>
    <row r="319" spans="12:12" x14ac:dyDescent="0.35">
      <c r="L319" s="21">
        <f t="shared" si="4"/>
        <v>0</v>
      </c>
    </row>
    <row r="320" spans="12:12" x14ac:dyDescent="0.35">
      <c r="L320" s="21">
        <f t="shared" si="4"/>
        <v>0</v>
      </c>
    </row>
    <row r="321" spans="12:12" x14ac:dyDescent="0.35">
      <c r="L321" s="21">
        <f t="shared" si="4"/>
        <v>0</v>
      </c>
    </row>
    <row r="322" spans="12:12" x14ac:dyDescent="0.35">
      <c r="L322" s="21">
        <f t="shared" si="4"/>
        <v>0</v>
      </c>
    </row>
    <row r="323" spans="12:12" x14ac:dyDescent="0.35">
      <c r="L323" s="21">
        <f t="shared" si="4"/>
        <v>0</v>
      </c>
    </row>
    <row r="324" spans="12:12" x14ac:dyDescent="0.35">
      <c r="L324" s="21">
        <f t="shared" ref="L324:L387" si="5">IFERROR(J324+K324,"")</f>
        <v>0</v>
      </c>
    </row>
    <row r="325" spans="12:12" x14ac:dyDescent="0.35">
      <c r="L325" s="21">
        <f t="shared" si="5"/>
        <v>0</v>
      </c>
    </row>
    <row r="326" spans="12:12" x14ac:dyDescent="0.35">
      <c r="L326" s="21">
        <f t="shared" si="5"/>
        <v>0</v>
      </c>
    </row>
    <row r="327" spans="12:12" x14ac:dyDescent="0.35">
      <c r="L327" s="21">
        <f t="shared" si="5"/>
        <v>0</v>
      </c>
    </row>
    <row r="328" spans="12:12" x14ac:dyDescent="0.35">
      <c r="L328" s="21">
        <f t="shared" si="5"/>
        <v>0</v>
      </c>
    </row>
    <row r="329" spans="12:12" x14ac:dyDescent="0.35">
      <c r="L329" s="21">
        <f t="shared" si="5"/>
        <v>0</v>
      </c>
    </row>
    <row r="330" spans="12:12" x14ac:dyDescent="0.35">
      <c r="L330" s="21">
        <f t="shared" si="5"/>
        <v>0</v>
      </c>
    </row>
    <row r="331" spans="12:12" x14ac:dyDescent="0.35">
      <c r="L331" s="21">
        <f t="shared" si="5"/>
        <v>0</v>
      </c>
    </row>
    <row r="332" spans="12:12" x14ac:dyDescent="0.35">
      <c r="L332" s="21">
        <f t="shared" si="5"/>
        <v>0</v>
      </c>
    </row>
    <row r="333" spans="12:12" x14ac:dyDescent="0.35">
      <c r="L333" s="21">
        <f t="shared" si="5"/>
        <v>0</v>
      </c>
    </row>
    <row r="334" spans="12:12" x14ac:dyDescent="0.35">
      <c r="L334" s="21">
        <f t="shared" si="5"/>
        <v>0</v>
      </c>
    </row>
    <row r="335" spans="12:12" x14ac:dyDescent="0.35">
      <c r="L335" s="21">
        <f t="shared" si="5"/>
        <v>0</v>
      </c>
    </row>
    <row r="336" spans="12:12" x14ac:dyDescent="0.35">
      <c r="L336" s="21">
        <f t="shared" si="5"/>
        <v>0</v>
      </c>
    </row>
    <row r="337" spans="12:12" x14ac:dyDescent="0.35">
      <c r="L337" s="21">
        <f t="shared" si="5"/>
        <v>0</v>
      </c>
    </row>
    <row r="338" spans="12:12" x14ac:dyDescent="0.35">
      <c r="L338" s="21">
        <f t="shared" si="5"/>
        <v>0</v>
      </c>
    </row>
    <row r="339" spans="12:12" x14ac:dyDescent="0.35">
      <c r="L339" s="21">
        <f t="shared" si="5"/>
        <v>0</v>
      </c>
    </row>
    <row r="340" spans="12:12" x14ac:dyDescent="0.35">
      <c r="L340" s="21">
        <f t="shared" si="5"/>
        <v>0</v>
      </c>
    </row>
    <row r="341" spans="12:12" x14ac:dyDescent="0.35">
      <c r="L341" s="21">
        <f t="shared" si="5"/>
        <v>0</v>
      </c>
    </row>
    <row r="342" spans="12:12" x14ac:dyDescent="0.35">
      <c r="L342" s="21">
        <f t="shared" si="5"/>
        <v>0</v>
      </c>
    </row>
    <row r="343" spans="12:12" x14ac:dyDescent="0.35">
      <c r="L343" s="21">
        <f t="shared" si="5"/>
        <v>0</v>
      </c>
    </row>
    <row r="344" spans="12:12" x14ac:dyDescent="0.35">
      <c r="L344" s="21">
        <f t="shared" si="5"/>
        <v>0</v>
      </c>
    </row>
    <row r="345" spans="12:12" x14ac:dyDescent="0.35">
      <c r="L345" s="21">
        <f t="shared" si="5"/>
        <v>0</v>
      </c>
    </row>
    <row r="346" spans="12:12" x14ac:dyDescent="0.35">
      <c r="L346" s="21">
        <f t="shared" si="5"/>
        <v>0</v>
      </c>
    </row>
    <row r="347" spans="12:12" x14ac:dyDescent="0.35">
      <c r="L347" s="21">
        <f t="shared" si="5"/>
        <v>0</v>
      </c>
    </row>
    <row r="348" spans="12:12" x14ac:dyDescent="0.35">
      <c r="L348" s="21">
        <f t="shared" si="5"/>
        <v>0</v>
      </c>
    </row>
    <row r="349" spans="12:12" x14ac:dyDescent="0.35">
      <c r="L349" s="21">
        <f t="shared" si="5"/>
        <v>0</v>
      </c>
    </row>
    <row r="350" spans="12:12" x14ac:dyDescent="0.35">
      <c r="L350" s="21">
        <f t="shared" si="5"/>
        <v>0</v>
      </c>
    </row>
    <row r="351" spans="12:12" x14ac:dyDescent="0.35">
      <c r="L351" s="21">
        <f t="shared" si="5"/>
        <v>0</v>
      </c>
    </row>
    <row r="352" spans="12:12" x14ac:dyDescent="0.35">
      <c r="L352" s="21">
        <f t="shared" si="5"/>
        <v>0</v>
      </c>
    </row>
    <row r="353" spans="12:12" x14ac:dyDescent="0.35">
      <c r="L353" s="21">
        <f t="shared" si="5"/>
        <v>0</v>
      </c>
    </row>
    <row r="354" spans="12:12" x14ac:dyDescent="0.35">
      <c r="L354" s="21">
        <f t="shared" si="5"/>
        <v>0</v>
      </c>
    </row>
    <row r="355" spans="12:12" x14ac:dyDescent="0.35">
      <c r="L355" s="21">
        <f t="shared" si="5"/>
        <v>0</v>
      </c>
    </row>
    <row r="356" spans="12:12" x14ac:dyDescent="0.35">
      <c r="L356" s="21">
        <f t="shared" si="5"/>
        <v>0</v>
      </c>
    </row>
    <row r="357" spans="12:12" x14ac:dyDescent="0.35">
      <c r="L357" s="21">
        <f t="shared" si="5"/>
        <v>0</v>
      </c>
    </row>
    <row r="358" spans="12:12" x14ac:dyDescent="0.35">
      <c r="L358" s="21">
        <f t="shared" si="5"/>
        <v>0</v>
      </c>
    </row>
    <row r="359" spans="12:12" x14ac:dyDescent="0.35">
      <c r="L359" s="21">
        <f t="shared" si="5"/>
        <v>0</v>
      </c>
    </row>
    <row r="360" spans="12:12" x14ac:dyDescent="0.35">
      <c r="L360" s="21">
        <f t="shared" si="5"/>
        <v>0</v>
      </c>
    </row>
    <row r="361" spans="12:12" x14ac:dyDescent="0.35">
      <c r="L361" s="21">
        <f t="shared" si="5"/>
        <v>0</v>
      </c>
    </row>
    <row r="362" spans="12:12" x14ac:dyDescent="0.35">
      <c r="L362" s="21">
        <f t="shared" si="5"/>
        <v>0</v>
      </c>
    </row>
    <row r="363" spans="12:12" x14ac:dyDescent="0.35">
      <c r="L363" s="21">
        <f t="shared" si="5"/>
        <v>0</v>
      </c>
    </row>
    <row r="364" spans="12:12" x14ac:dyDescent="0.35">
      <c r="L364" s="21">
        <f t="shared" si="5"/>
        <v>0</v>
      </c>
    </row>
    <row r="365" spans="12:12" x14ac:dyDescent="0.35">
      <c r="L365" s="21">
        <f t="shared" si="5"/>
        <v>0</v>
      </c>
    </row>
    <row r="366" spans="12:12" x14ac:dyDescent="0.35">
      <c r="L366" s="21">
        <f t="shared" si="5"/>
        <v>0</v>
      </c>
    </row>
    <row r="367" spans="12:12" x14ac:dyDescent="0.35">
      <c r="L367" s="21">
        <f t="shared" si="5"/>
        <v>0</v>
      </c>
    </row>
    <row r="368" spans="12:12" x14ac:dyDescent="0.35">
      <c r="L368" s="21">
        <f t="shared" si="5"/>
        <v>0</v>
      </c>
    </row>
    <row r="369" spans="12:12" x14ac:dyDescent="0.35">
      <c r="L369" s="21">
        <f t="shared" si="5"/>
        <v>0</v>
      </c>
    </row>
    <row r="370" spans="12:12" x14ac:dyDescent="0.35">
      <c r="L370" s="21">
        <f t="shared" si="5"/>
        <v>0</v>
      </c>
    </row>
    <row r="371" spans="12:12" x14ac:dyDescent="0.35">
      <c r="L371" s="21">
        <f t="shared" si="5"/>
        <v>0</v>
      </c>
    </row>
    <row r="372" spans="12:12" x14ac:dyDescent="0.35">
      <c r="L372" s="21">
        <f t="shared" si="5"/>
        <v>0</v>
      </c>
    </row>
    <row r="373" spans="12:12" x14ac:dyDescent="0.35">
      <c r="L373" s="21">
        <f t="shared" si="5"/>
        <v>0</v>
      </c>
    </row>
    <row r="374" spans="12:12" x14ac:dyDescent="0.35">
      <c r="L374" s="21">
        <f t="shared" si="5"/>
        <v>0</v>
      </c>
    </row>
    <row r="375" spans="12:12" x14ac:dyDescent="0.35">
      <c r="L375" s="21">
        <f t="shared" si="5"/>
        <v>0</v>
      </c>
    </row>
    <row r="376" spans="12:12" x14ac:dyDescent="0.35">
      <c r="L376" s="21">
        <f t="shared" si="5"/>
        <v>0</v>
      </c>
    </row>
    <row r="377" spans="12:12" x14ac:dyDescent="0.35">
      <c r="L377" s="21">
        <f t="shared" si="5"/>
        <v>0</v>
      </c>
    </row>
    <row r="378" spans="12:12" x14ac:dyDescent="0.35">
      <c r="L378" s="21">
        <f t="shared" si="5"/>
        <v>0</v>
      </c>
    </row>
    <row r="379" spans="12:12" x14ac:dyDescent="0.35">
      <c r="L379" s="21">
        <f t="shared" si="5"/>
        <v>0</v>
      </c>
    </row>
    <row r="380" spans="12:12" x14ac:dyDescent="0.35">
      <c r="L380" s="21">
        <f t="shared" si="5"/>
        <v>0</v>
      </c>
    </row>
    <row r="381" spans="12:12" x14ac:dyDescent="0.35">
      <c r="L381" s="21">
        <f t="shared" si="5"/>
        <v>0</v>
      </c>
    </row>
    <row r="382" spans="12:12" x14ac:dyDescent="0.35">
      <c r="L382" s="21">
        <f t="shared" si="5"/>
        <v>0</v>
      </c>
    </row>
    <row r="383" spans="12:12" x14ac:dyDescent="0.35">
      <c r="L383" s="21">
        <f t="shared" si="5"/>
        <v>0</v>
      </c>
    </row>
    <row r="384" spans="12:12" x14ac:dyDescent="0.35">
      <c r="L384" s="21">
        <f t="shared" si="5"/>
        <v>0</v>
      </c>
    </row>
    <row r="385" spans="12:12" x14ac:dyDescent="0.35">
      <c r="L385" s="21">
        <f t="shared" si="5"/>
        <v>0</v>
      </c>
    </row>
    <row r="386" spans="12:12" x14ac:dyDescent="0.35">
      <c r="L386" s="21">
        <f t="shared" si="5"/>
        <v>0</v>
      </c>
    </row>
    <row r="387" spans="12:12" x14ac:dyDescent="0.35">
      <c r="L387" s="21">
        <f t="shared" si="5"/>
        <v>0</v>
      </c>
    </row>
    <row r="388" spans="12:12" x14ac:dyDescent="0.35">
      <c r="L388" s="21">
        <f t="shared" ref="L388:L451" si="6">IFERROR(J388+K388,"")</f>
        <v>0</v>
      </c>
    </row>
    <row r="389" spans="12:12" x14ac:dyDescent="0.35">
      <c r="L389" s="21">
        <f t="shared" si="6"/>
        <v>0</v>
      </c>
    </row>
    <row r="390" spans="12:12" x14ac:dyDescent="0.35">
      <c r="L390" s="21">
        <f t="shared" si="6"/>
        <v>0</v>
      </c>
    </row>
    <row r="391" spans="12:12" x14ac:dyDescent="0.35">
      <c r="L391" s="21">
        <f t="shared" si="6"/>
        <v>0</v>
      </c>
    </row>
    <row r="392" spans="12:12" x14ac:dyDescent="0.35">
      <c r="L392" s="21">
        <f t="shared" si="6"/>
        <v>0</v>
      </c>
    </row>
    <row r="393" spans="12:12" x14ac:dyDescent="0.35">
      <c r="L393" s="21">
        <f t="shared" si="6"/>
        <v>0</v>
      </c>
    </row>
    <row r="394" spans="12:12" x14ac:dyDescent="0.35">
      <c r="L394" s="21">
        <f t="shared" si="6"/>
        <v>0</v>
      </c>
    </row>
    <row r="395" spans="12:12" x14ac:dyDescent="0.35">
      <c r="L395" s="21">
        <f t="shared" si="6"/>
        <v>0</v>
      </c>
    </row>
    <row r="396" spans="12:12" x14ac:dyDescent="0.35">
      <c r="L396" s="21">
        <f t="shared" si="6"/>
        <v>0</v>
      </c>
    </row>
    <row r="397" spans="12:12" x14ac:dyDescent="0.35">
      <c r="L397" s="21">
        <f t="shared" si="6"/>
        <v>0</v>
      </c>
    </row>
    <row r="398" spans="12:12" x14ac:dyDescent="0.35">
      <c r="L398" s="21">
        <f t="shared" si="6"/>
        <v>0</v>
      </c>
    </row>
    <row r="399" spans="12:12" x14ac:dyDescent="0.35">
      <c r="L399" s="21">
        <f t="shared" si="6"/>
        <v>0</v>
      </c>
    </row>
    <row r="400" spans="12:12" x14ac:dyDescent="0.35">
      <c r="L400" s="21">
        <f t="shared" si="6"/>
        <v>0</v>
      </c>
    </row>
    <row r="401" spans="12:12" x14ac:dyDescent="0.35">
      <c r="L401" s="21">
        <f t="shared" si="6"/>
        <v>0</v>
      </c>
    </row>
    <row r="402" spans="12:12" x14ac:dyDescent="0.35">
      <c r="L402" s="21">
        <f t="shared" si="6"/>
        <v>0</v>
      </c>
    </row>
    <row r="403" spans="12:12" x14ac:dyDescent="0.35">
      <c r="L403" s="21">
        <f t="shared" si="6"/>
        <v>0</v>
      </c>
    </row>
    <row r="404" spans="12:12" x14ac:dyDescent="0.35">
      <c r="L404" s="21">
        <f t="shared" si="6"/>
        <v>0</v>
      </c>
    </row>
    <row r="405" spans="12:12" x14ac:dyDescent="0.35">
      <c r="L405" s="21">
        <f t="shared" si="6"/>
        <v>0</v>
      </c>
    </row>
    <row r="406" spans="12:12" x14ac:dyDescent="0.35">
      <c r="L406" s="21">
        <f t="shared" si="6"/>
        <v>0</v>
      </c>
    </row>
    <row r="407" spans="12:12" x14ac:dyDescent="0.35">
      <c r="L407" s="21">
        <f t="shared" si="6"/>
        <v>0</v>
      </c>
    </row>
    <row r="408" spans="12:12" x14ac:dyDescent="0.35">
      <c r="L408" s="21">
        <f t="shared" si="6"/>
        <v>0</v>
      </c>
    </row>
    <row r="409" spans="12:12" x14ac:dyDescent="0.35">
      <c r="L409" s="21">
        <f t="shared" si="6"/>
        <v>0</v>
      </c>
    </row>
    <row r="410" spans="12:12" x14ac:dyDescent="0.35">
      <c r="L410" s="21">
        <f t="shared" si="6"/>
        <v>0</v>
      </c>
    </row>
    <row r="411" spans="12:12" x14ac:dyDescent="0.35">
      <c r="L411" s="21">
        <f t="shared" si="6"/>
        <v>0</v>
      </c>
    </row>
    <row r="412" spans="12:12" x14ac:dyDescent="0.35">
      <c r="L412" s="21">
        <f t="shared" si="6"/>
        <v>0</v>
      </c>
    </row>
    <row r="413" spans="12:12" x14ac:dyDescent="0.35">
      <c r="L413" s="21">
        <f t="shared" si="6"/>
        <v>0</v>
      </c>
    </row>
    <row r="414" spans="12:12" x14ac:dyDescent="0.35">
      <c r="L414" s="21">
        <f t="shared" si="6"/>
        <v>0</v>
      </c>
    </row>
    <row r="415" spans="12:12" x14ac:dyDescent="0.35">
      <c r="L415" s="21">
        <f t="shared" si="6"/>
        <v>0</v>
      </c>
    </row>
    <row r="416" spans="12:12" x14ac:dyDescent="0.35">
      <c r="L416" s="21">
        <f t="shared" si="6"/>
        <v>0</v>
      </c>
    </row>
    <row r="417" spans="12:12" x14ac:dyDescent="0.35">
      <c r="L417" s="21">
        <f t="shared" si="6"/>
        <v>0</v>
      </c>
    </row>
    <row r="418" spans="12:12" x14ac:dyDescent="0.35">
      <c r="L418" s="21">
        <f t="shared" si="6"/>
        <v>0</v>
      </c>
    </row>
    <row r="419" spans="12:12" x14ac:dyDescent="0.35">
      <c r="L419" s="21">
        <f t="shared" si="6"/>
        <v>0</v>
      </c>
    </row>
    <row r="420" spans="12:12" x14ac:dyDescent="0.35">
      <c r="L420" s="21">
        <f t="shared" si="6"/>
        <v>0</v>
      </c>
    </row>
    <row r="421" spans="12:12" x14ac:dyDescent="0.35">
      <c r="L421" s="21">
        <f t="shared" si="6"/>
        <v>0</v>
      </c>
    </row>
    <row r="422" spans="12:12" x14ac:dyDescent="0.35">
      <c r="L422" s="21">
        <f t="shared" si="6"/>
        <v>0</v>
      </c>
    </row>
    <row r="423" spans="12:12" x14ac:dyDescent="0.35">
      <c r="L423" s="21">
        <f t="shared" si="6"/>
        <v>0</v>
      </c>
    </row>
    <row r="424" spans="12:12" x14ac:dyDescent="0.35">
      <c r="L424" s="21">
        <f t="shared" si="6"/>
        <v>0</v>
      </c>
    </row>
    <row r="425" spans="12:12" x14ac:dyDescent="0.35">
      <c r="L425" s="21">
        <f t="shared" si="6"/>
        <v>0</v>
      </c>
    </row>
    <row r="426" spans="12:12" x14ac:dyDescent="0.35">
      <c r="L426" s="21">
        <f t="shared" si="6"/>
        <v>0</v>
      </c>
    </row>
    <row r="427" spans="12:12" x14ac:dyDescent="0.35">
      <c r="L427" s="21">
        <f t="shared" si="6"/>
        <v>0</v>
      </c>
    </row>
    <row r="428" spans="12:12" x14ac:dyDescent="0.35">
      <c r="L428" s="21">
        <f t="shared" si="6"/>
        <v>0</v>
      </c>
    </row>
    <row r="429" spans="12:12" x14ac:dyDescent="0.35">
      <c r="L429" s="21">
        <f t="shared" si="6"/>
        <v>0</v>
      </c>
    </row>
    <row r="430" spans="12:12" x14ac:dyDescent="0.35">
      <c r="L430" s="21">
        <f t="shared" si="6"/>
        <v>0</v>
      </c>
    </row>
    <row r="431" spans="12:12" x14ac:dyDescent="0.35">
      <c r="L431" s="21">
        <f t="shared" si="6"/>
        <v>0</v>
      </c>
    </row>
    <row r="432" spans="12:12" x14ac:dyDescent="0.35">
      <c r="L432" s="21">
        <f t="shared" si="6"/>
        <v>0</v>
      </c>
    </row>
    <row r="433" spans="12:12" x14ac:dyDescent="0.35">
      <c r="L433" s="21">
        <f t="shared" si="6"/>
        <v>0</v>
      </c>
    </row>
    <row r="434" spans="12:12" x14ac:dyDescent="0.35">
      <c r="L434" s="21">
        <f t="shared" si="6"/>
        <v>0</v>
      </c>
    </row>
    <row r="435" spans="12:12" x14ac:dyDescent="0.35">
      <c r="L435" s="21">
        <f t="shared" si="6"/>
        <v>0</v>
      </c>
    </row>
    <row r="436" spans="12:12" x14ac:dyDescent="0.35">
      <c r="L436" s="21">
        <f t="shared" si="6"/>
        <v>0</v>
      </c>
    </row>
    <row r="437" spans="12:12" x14ac:dyDescent="0.35">
      <c r="L437" s="21">
        <f t="shared" si="6"/>
        <v>0</v>
      </c>
    </row>
    <row r="438" spans="12:12" x14ac:dyDescent="0.35">
      <c r="L438" s="21">
        <f t="shared" si="6"/>
        <v>0</v>
      </c>
    </row>
    <row r="439" spans="12:12" x14ac:dyDescent="0.35">
      <c r="L439" s="21">
        <f t="shared" si="6"/>
        <v>0</v>
      </c>
    </row>
    <row r="440" spans="12:12" x14ac:dyDescent="0.35">
      <c r="L440" s="21">
        <f t="shared" si="6"/>
        <v>0</v>
      </c>
    </row>
    <row r="441" spans="12:12" x14ac:dyDescent="0.35">
      <c r="L441" s="21">
        <f t="shared" si="6"/>
        <v>0</v>
      </c>
    </row>
    <row r="442" spans="12:12" x14ac:dyDescent="0.35">
      <c r="L442" s="21">
        <f t="shared" si="6"/>
        <v>0</v>
      </c>
    </row>
    <row r="443" spans="12:12" x14ac:dyDescent="0.35">
      <c r="L443" s="21">
        <f t="shared" si="6"/>
        <v>0</v>
      </c>
    </row>
    <row r="444" spans="12:12" x14ac:dyDescent="0.35">
      <c r="L444" s="21">
        <f t="shared" si="6"/>
        <v>0</v>
      </c>
    </row>
    <row r="445" spans="12:12" x14ac:dyDescent="0.35">
      <c r="L445" s="21">
        <f t="shared" si="6"/>
        <v>0</v>
      </c>
    </row>
    <row r="446" spans="12:12" x14ac:dyDescent="0.35">
      <c r="L446" s="21">
        <f t="shared" si="6"/>
        <v>0</v>
      </c>
    </row>
    <row r="447" spans="12:12" x14ac:dyDescent="0.35">
      <c r="L447" s="21">
        <f t="shared" si="6"/>
        <v>0</v>
      </c>
    </row>
    <row r="448" spans="12:12" x14ac:dyDescent="0.35">
      <c r="L448" s="21">
        <f t="shared" si="6"/>
        <v>0</v>
      </c>
    </row>
    <row r="449" spans="12:12" x14ac:dyDescent="0.35">
      <c r="L449" s="21">
        <f t="shared" si="6"/>
        <v>0</v>
      </c>
    </row>
    <row r="450" spans="12:12" x14ac:dyDescent="0.35">
      <c r="L450" s="21">
        <f t="shared" si="6"/>
        <v>0</v>
      </c>
    </row>
    <row r="451" spans="12:12" x14ac:dyDescent="0.35">
      <c r="L451" s="21">
        <f t="shared" si="6"/>
        <v>0</v>
      </c>
    </row>
    <row r="452" spans="12:12" x14ac:dyDescent="0.35">
      <c r="L452" s="21">
        <f t="shared" ref="L452:L499" si="7">IFERROR(J452+K452,"")</f>
        <v>0</v>
      </c>
    </row>
    <row r="453" spans="12:12" x14ac:dyDescent="0.35">
      <c r="L453" s="21">
        <f t="shared" si="7"/>
        <v>0</v>
      </c>
    </row>
    <row r="454" spans="12:12" x14ac:dyDescent="0.35">
      <c r="L454" s="21">
        <f t="shared" si="7"/>
        <v>0</v>
      </c>
    </row>
    <row r="455" spans="12:12" x14ac:dyDescent="0.35">
      <c r="L455" s="21">
        <f t="shared" si="7"/>
        <v>0</v>
      </c>
    </row>
    <row r="456" spans="12:12" x14ac:dyDescent="0.35">
      <c r="L456" s="21">
        <f t="shared" si="7"/>
        <v>0</v>
      </c>
    </row>
    <row r="457" spans="12:12" x14ac:dyDescent="0.35">
      <c r="L457" s="21">
        <f t="shared" si="7"/>
        <v>0</v>
      </c>
    </row>
    <row r="458" spans="12:12" x14ac:dyDescent="0.35">
      <c r="L458" s="21">
        <f t="shared" si="7"/>
        <v>0</v>
      </c>
    </row>
    <row r="459" spans="12:12" x14ac:dyDescent="0.35">
      <c r="L459" s="21">
        <f t="shared" si="7"/>
        <v>0</v>
      </c>
    </row>
    <row r="460" spans="12:12" x14ac:dyDescent="0.35">
      <c r="L460" s="21">
        <f t="shared" si="7"/>
        <v>0</v>
      </c>
    </row>
    <row r="461" spans="12:12" x14ac:dyDescent="0.35">
      <c r="L461" s="21">
        <f t="shared" si="7"/>
        <v>0</v>
      </c>
    </row>
    <row r="462" spans="12:12" x14ac:dyDescent="0.35">
      <c r="L462" s="21">
        <f t="shared" si="7"/>
        <v>0</v>
      </c>
    </row>
    <row r="463" spans="12:12" x14ac:dyDescent="0.35">
      <c r="L463" s="21">
        <f t="shared" si="7"/>
        <v>0</v>
      </c>
    </row>
    <row r="464" spans="12:12" x14ac:dyDescent="0.35">
      <c r="L464" s="21">
        <f t="shared" si="7"/>
        <v>0</v>
      </c>
    </row>
    <row r="465" spans="12:12" x14ac:dyDescent="0.35">
      <c r="L465" s="21">
        <f t="shared" si="7"/>
        <v>0</v>
      </c>
    </row>
    <row r="466" spans="12:12" x14ac:dyDescent="0.35">
      <c r="L466" s="21">
        <f t="shared" si="7"/>
        <v>0</v>
      </c>
    </row>
    <row r="467" spans="12:12" x14ac:dyDescent="0.35">
      <c r="L467" s="21">
        <f t="shared" si="7"/>
        <v>0</v>
      </c>
    </row>
    <row r="468" spans="12:12" x14ac:dyDescent="0.35">
      <c r="L468" s="21">
        <f t="shared" si="7"/>
        <v>0</v>
      </c>
    </row>
    <row r="469" spans="12:12" x14ac:dyDescent="0.35">
      <c r="L469" s="21">
        <f t="shared" si="7"/>
        <v>0</v>
      </c>
    </row>
    <row r="470" spans="12:12" x14ac:dyDescent="0.35">
      <c r="L470" s="21">
        <f t="shared" si="7"/>
        <v>0</v>
      </c>
    </row>
    <row r="471" spans="12:12" x14ac:dyDescent="0.35">
      <c r="L471" s="21">
        <f t="shared" si="7"/>
        <v>0</v>
      </c>
    </row>
    <row r="472" spans="12:12" x14ac:dyDescent="0.35">
      <c r="L472" s="21">
        <f t="shared" si="7"/>
        <v>0</v>
      </c>
    </row>
    <row r="473" spans="12:12" x14ac:dyDescent="0.35">
      <c r="L473" s="21">
        <f t="shared" si="7"/>
        <v>0</v>
      </c>
    </row>
    <row r="474" spans="12:12" x14ac:dyDescent="0.35">
      <c r="L474" s="21">
        <f t="shared" si="7"/>
        <v>0</v>
      </c>
    </row>
    <row r="475" spans="12:12" x14ac:dyDescent="0.35">
      <c r="L475" s="21">
        <f t="shared" si="7"/>
        <v>0</v>
      </c>
    </row>
    <row r="476" spans="12:12" x14ac:dyDescent="0.35">
      <c r="L476" s="21">
        <f t="shared" si="7"/>
        <v>0</v>
      </c>
    </row>
    <row r="477" spans="12:12" x14ac:dyDescent="0.35">
      <c r="L477" s="21">
        <f t="shared" si="7"/>
        <v>0</v>
      </c>
    </row>
    <row r="478" spans="12:12" x14ac:dyDescent="0.35">
      <c r="L478" s="21">
        <f t="shared" si="7"/>
        <v>0</v>
      </c>
    </row>
    <row r="479" spans="12:12" x14ac:dyDescent="0.35">
      <c r="L479" s="21">
        <f t="shared" si="7"/>
        <v>0</v>
      </c>
    </row>
    <row r="480" spans="12:12" x14ac:dyDescent="0.35">
      <c r="L480" s="21">
        <f t="shared" si="7"/>
        <v>0</v>
      </c>
    </row>
    <row r="481" spans="12:12" x14ac:dyDescent="0.35">
      <c r="L481" s="21">
        <f t="shared" si="7"/>
        <v>0</v>
      </c>
    </row>
    <row r="482" spans="12:12" x14ac:dyDescent="0.35">
      <c r="L482" s="21">
        <f t="shared" si="7"/>
        <v>0</v>
      </c>
    </row>
    <row r="483" spans="12:12" x14ac:dyDescent="0.35">
      <c r="L483" s="21">
        <f t="shared" si="7"/>
        <v>0</v>
      </c>
    </row>
    <row r="484" spans="12:12" x14ac:dyDescent="0.35">
      <c r="L484" s="21">
        <f t="shared" si="7"/>
        <v>0</v>
      </c>
    </row>
    <row r="485" spans="12:12" x14ac:dyDescent="0.35">
      <c r="L485" s="21">
        <f t="shared" si="7"/>
        <v>0</v>
      </c>
    </row>
    <row r="486" spans="12:12" x14ac:dyDescent="0.35">
      <c r="L486" s="21">
        <f t="shared" si="7"/>
        <v>0</v>
      </c>
    </row>
    <row r="487" spans="12:12" x14ac:dyDescent="0.35">
      <c r="L487" s="21">
        <f t="shared" si="7"/>
        <v>0</v>
      </c>
    </row>
    <row r="488" spans="12:12" x14ac:dyDescent="0.35">
      <c r="L488" s="21">
        <f t="shared" si="7"/>
        <v>0</v>
      </c>
    </row>
    <row r="489" spans="12:12" x14ac:dyDescent="0.35">
      <c r="L489" s="21">
        <f t="shared" si="7"/>
        <v>0</v>
      </c>
    </row>
    <row r="490" spans="12:12" x14ac:dyDescent="0.35">
      <c r="L490" s="21">
        <f t="shared" si="7"/>
        <v>0</v>
      </c>
    </row>
    <row r="491" spans="12:12" x14ac:dyDescent="0.35">
      <c r="L491" s="21">
        <f t="shared" si="7"/>
        <v>0</v>
      </c>
    </row>
    <row r="492" spans="12:12" x14ac:dyDescent="0.35">
      <c r="L492" s="21">
        <f t="shared" si="7"/>
        <v>0</v>
      </c>
    </row>
    <row r="493" spans="12:12" x14ac:dyDescent="0.35">
      <c r="L493" s="21">
        <f t="shared" si="7"/>
        <v>0</v>
      </c>
    </row>
    <row r="494" spans="12:12" x14ac:dyDescent="0.35">
      <c r="L494" s="21">
        <f t="shared" si="7"/>
        <v>0</v>
      </c>
    </row>
    <row r="495" spans="12:12" x14ac:dyDescent="0.35">
      <c r="L495" s="21">
        <f t="shared" si="7"/>
        <v>0</v>
      </c>
    </row>
    <row r="496" spans="12:12" x14ac:dyDescent="0.35">
      <c r="L496" s="21">
        <f t="shared" si="7"/>
        <v>0</v>
      </c>
    </row>
    <row r="497" spans="12:12" x14ac:dyDescent="0.35">
      <c r="L497" s="21">
        <f t="shared" si="7"/>
        <v>0</v>
      </c>
    </row>
    <row r="498" spans="12:12" x14ac:dyDescent="0.35">
      <c r="L498" s="21">
        <f t="shared" si="7"/>
        <v>0</v>
      </c>
    </row>
    <row r="499" spans="12:12" x14ac:dyDescent="0.35">
      <c r="L499" s="21">
        <f t="shared" si="7"/>
        <v>0</v>
      </c>
    </row>
  </sheetData>
  <autoFilter ref="A3:N3" xr:uid="{00000000-0009-0000-0000-000005000000}"/>
  <mergeCells count="2">
    <mergeCell ref="A1:P1"/>
    <mergeCell ref="A2:P2"/>
  </mergeCells>
  <phoneticPr fontId="11" type="noConversion"/>
  <dataValidations count="2">
    <dataValidation type="list" sqref="D4:D500" xr:uid="{00000000-0002-0000-0500-000000000000}">
      <formula1>"January,February,March,April,May,June,July,August,September,October,November,December"</formula1>
      <formula2>0</formula2>
    </dataValidation>
    <dataValidation type="list" sqref="F4:F500" xr:uid="{00000000-0002-0000-0500-000001000000}">
      <formula1>"Staffing,Utilities,Maintenance,Consumables,Training,Food and catering,Administration,Equipment,Other"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B3A6B"/>
  </sheetPr>
  <dimension ref="A1:H20"/>
  <sheetViews>
    <sheetView topLeftCell="A9" zoomScaleNormal="100" workbookViewId="0">
      <selection activeCell="H19" sqref="H19"/>
    </sheetView>
  </sheetViews>
  <sheetFormatPr defaultColWidth="8.6328125" defaultRowHeight="14.5" x14ac:dyDescent="0.35"/>
  <cols>
    <col min="1" max="1" width="26" customWidth="1"/>
    <col min="2" max="4" width="14" customWidth="1"/>
    <col min="5" max="5" width="12" customWidth="1"/>
  </cols>
  <sheetData>
    <row r="1" spans="1:8" ht="27.75" customHeight="1" x14ac:dyDescent="0.35">
      <c r="A1" s="41" t="s">
        <v>154</v>
      </c>
      <c r="B1" s="41"/>
      <c r="C1" s="41"/>
      <c r="D1" s="41"/>
      <c r="E1" s="41"/>
      <c r="F1" s="41"/>
      <c r="G1" s="41"/>
      <c r="H1" s="41"/>
    </row>
    <row r="3" spans="1:8" ht="15" customHeight="1" x14ac:dyDescent="0.35">
      <c r="A3" s="42" t="s">
        <v>9</v>
      </c>
      <c r="B3" s="42"/>
      <c r="C3" s="42"/>
      <c r="D3" s="42"/>
      <c r="E3" s="42"/>
    </row>
    <row r="4" spans="1:8" x14ac:dyDescent="0.35">
      <c r="A4" s="22" t="s">
        <v>155</v>
      </c>
      <c r="B4" s="22" t="s">
        <v>50</v>
      </c>
      <c r="C4" s="22" t="s">
        <v>55</v>
      </c>
      <c r="D4" s="22" t="s">
        <v>58</v>
      </c>
      <c r="E4" s="22" t="s">
        <v>156</v>
      </c>
    </row>
    <row r="5" spans="1:8" x14ac:dyDescent="0.35">
      <c r="A5" s="9" t="s">
        <v>157</v>
      </c>
      <c r="B5" s="23">
        <f>COUNTIF('Support Plans'!D:D,"FAC-001")</f>
        <v>4</v>
      </c>
      <c r="C5" s="23">
        <f>COUNTIF('Support Plans'!D:D,"FAC-002")</f>
        <v>5</v>
      </c>
      <c r="D5" s="23">
        <f>COUNTIF('Support Plans'!D:D,"FAC-003")</f>
        <v>4</v>
      </c>
      <c r="E5" s="14">
        <f>SUM(B5:D5)</f>
        <v>13</v>
      </c>
    </row>
    <row r="6" spans="1:8" x14ac:dyDescent="0.35">
      <c r="A6" s="7" t="s">
        <v>158</v>
      </c>
      <c r="B6" s="24">
        <f ca="1">COUNTIFS('Support Plans'!D:D,"FAC-001",'Support Plans'!J:J,"On track")</f>
        <v>4</v>
      </c>
      <c r="C6" s="24">
        <f ca="1">COUNTIFS('Support Plans'!D:D,"FAC-002",'Support Plans'!J:J,"On track")</f>
        <v>5</v>
      </c>
      <c r="D6" s="24">
        <f ca="1">COUNTIFS('Support Plans'!D:D,"FAC-003",'Support Plans'!J:J,"On track")</f>
        <v>4</v>
      </c>
      <c r="E6" s="13">
        <f ca="1">SUM(B6:D6)</f>
        <v>13</v>
      </c>
    </row>
    <row r="7" spans="1:8" x14ac:dyDescent="0.35">
      <c r="A7" s="9" t="s">
        <v>159</v>
      </c>
      <c r="B7" s="23">
        <f ca="1">COUNTIFS('Support Plans'!D:D,"FAC-001",'Support Plans'!J:J,"Due within 30 days")</f>
        <v>0</v>
      </c>
      <c r="C7" s="23">
        <f ca="1">COUNTIFS('Support Plans'!D:D,"FAC-002",'Support Plans'!J:J,"Due within 30 days")</f>
        <v>0</v>
      </c>
      <c r="D7" s="23">
        <f ca="1">COUNTIFS('Support Plans'!D:D,"FAC-003",'Support Plans'!J:J,"Due within 30 days")</f>
        <v>0</v>
      </c>
      <c r="E7" s="14">
        <f ca="1">SUM(B7:D7)</f>
        <v>0</v>
      </c>
    </row>
    <row r="8" spans="1:8" x14ac:dyDescent="0.35">
      <c r="A8" s="7" t="s">
        <v>160</v>
      </c>
      <c r="B8" s="24">
        <f ca="1">COUNTIFS('Support Plans'!D:D,"FAC-001",'Support Plans'!J:J,"OVERDUE")</f>
        <v>0</v>
      </c>
      <c r="C8" s="24">
        <f ca="1">COUNTIFS('Support Plans'!D:D,"FAC-002",'Support Plans'!J:J,"OVERDUE")</f>
        <v>0</v>
      </c>
      <c r="D8" s="24">
        <f ca="1">COUNTIFS('Support Plans'!D:D,"FAC-003",'Support Plans'!J:J,"OVERDUE")</f>
        <v>0</v>
      </c>
      <c r="E8" s="13">
        <f ca="1">SUM(B8:D8)</f>
        <v>0</v>
      </c>
    </row>
    <row r="9" spans="1:8" ht="15" customHeight="1" x14ac:dyDescent="0.35">
      <c r="A9" s="43" t="s">
        <v>161</v>
      </c>
      <c r="B9" s="43"/>
      <c r="C9" s="43"/>
      <c r="D9" s="43"/>
      <c r="E9" s="43"/>
    </row>
    <row r="10" spans="1:8" x14ac:dyDescent="0.35">
      <c r="A10" s="22" t="s">
        <v>155</v>
      </c>
      <c r="B10" s="22" t="s">
        <v>50</v>
      </c>
      <c r="C10" s="22" t="s">
        <v>55</v>
      </c>
      <c r="D10" s="22" t="s">
        <v>58</v>
      </c>
      <c r="E10" s="22" t="s">
        <v>156</v>
      </c>
    </row>
    <row r="11" spans="1:8" x14ac:dyDescent="0.35">
      <c r="A11" s="9" t="s">
        <v>49</v>
      </c>
      <c r="B11" s="23">
        <f ca="1">COUNTIFS(DoLS!D:D,"FAC-001",DoLS!I:I,"Active")</f>
        <v>2</v>
      </c>
      <c r="C11" s="23">
        <f>COUNTIFS(DoLS!D:D,"FAC-002",DoLS!I:I,"Active")</f>
        <v>0</v>
      </c>
      <c r="D11" s="23">
        <f>COUNTIFS(DoLS!D:D,"FAC-003",DoLS!I:I,"Active")</f>
        <v>0</v>
      </c>
      <c r="E11" s="14">
        <f ca="1">SUM(B11:D11)</f>
        <v>2</v>
      </c>
    </row>
    <row r="12" spans="1:8" x14ac:dyDescent="0.35">
      <c r="A12" s="7" t="s">
        <v>159</v>
      </c>
      <c r="B12" s="24">
        <f ca="1">COUNTIFS(DoLS!D:D,"FAC-001",DoLS!I:I,"Review within 30 days")</f>
        <v>0</v>
      </c>
      <c r="C12" s="24">
        <f>COUNTIFS(DoLS!D:D,"FAC-002",DoLS!I:I,"Review within 30 days")</f>
        <v>0</v>
      </c>
      <c r="D12" s="24">
        <f>COUNTIFS(DoLS!D:D,"FAC-003",DoLS!I:I,"Review within 30 days")</f>
        <v>0</v>
      </c>
      <c r="E12" s="13">
        <f ca="1">SUM(B12:D12)</f>
        <v>0</v>
      </c>
    </row>
    <row r="13" spans="1:8" x14ac:dyDescent="0.35">
      <c r="A13" s="9" t="s">
        <v>162</v>
      </c>
      <c r="B13" s="23">
        <f ca="1">COUNTIFS(DoLS!D:D,"FAC-001",DoLS!I:I,"Expires in 14 days")</f>
        <v>0</v>
      </c>
      <c r="C13" s="23">
        <f>COUNTIFS(DoLS!D:D,"FAC-002",DoLS!I:I,"Expires in 14 days")</f>
        <v>0</v>
      </c>
      <c r="D13" s="23">
        <f>COUNTIFS(DoLS!D:D,"FAC-003",DoLS!I:I,"Expires in 14 days")</f>
        <v>0</v>
      </c>
      <c r="E13" s="14">
        <f ca="1">SUM(B13:D13)</f>
        <v>0</v>
      </c>
    </row>
    <row r="14" spans="1:8" x14ac:dyDescent="0.35">
      <c r="A14" s="7" t="s">
        <v>163</v>
      </c>
      <c r="B14" s="24">
        <f ca="1">COUNTIFS(DoLS!D:D,"FAC-001",DoLS!I:I,"EXPIRED")</f>
        <v>0</v>
      </c>
      <c r="C14" s="24">
        <f>COUNTIFS(DoLS!D:D,"FAC-002",DoLS!I:I,"EXPIRED")</f>
        <v>0</v>
      </c>
      <c r="D14" s="24">
        <f>COUNTIFS(DoLS!D:D,"FAC-003",DoLS!I:I,"EXPIRED")</f>
        <v>0</v>
      </c>
      <c r="E14" s="13">
        <f ca="1">SUM(B14:D14)</f>
        <v>0</v>
      </c>
    </row>
    <row r="15" spans="1:8" ht="15" customHeight="1" x14ac:dyDescent="0.35">
      <c r="A15" s="44" t="s">
        <v>164</v>
      </c>
      <c r="B15" s="44"/>
      <c r="C15" s="44"/>
      <c r="D15" s="44"/>
      <c r="E15" s="44"/>
    </row>
    <row r="16" spans="1:8" x14ac:dyDescent="0.35">
      <c r="A16" s="22" t="s">
        <v>155</v>
      </c>
      <c r="B16" s="22" t="s">
        <v>50</v>
      </c>
      <c r="C16" s="22" t="s">
        <v>55</v>
      </c>
      <c r="D16" s="22" t="s">
        <v>58</v>
      </c>
      <c r="E16" s="22" t="s">
        <v>156</v>
      </c>
    </row>
    <row r="17" spans="1:5" x14ac:dyDescent="0.35">
      <c r="A17" s="9" t="s">
        <v>165</v>
      </c>
      <c r="B17" s="25">
        <f>SUMIF(Expenses!B:B,"FAC-001",Expenses!L:L)</f>
        <v>1134</v>
      </c>
      <c r="C17" s="25">
        <f>SUMIF(Expenses!B:B,"FAC-002",Expenses!L:L)</f>
        <v>732</v>
      </c>
      <c r="D17" s="25">
        <f>SUMIF(Expenses!B:B,"FAC-003",Expenses!L:L)</f>
        <v>672</v>
      </c>
      <c r="E17" s="26">
        <f>SUM(B17:D17)</f>
        <v>2538</v>
      </c>
    </row>
    <row r="18" spans="1:5" x14ac:dyDescent="0.35">
      <c r="A18" s="7" t="s">
        <v>166</v>
      </c>
      <c r="B18" s="27">
        <f>SUMIFS(Expenses!L:L,Expenses!B:B,"FAC-001",Expenses!F:F,"Staffing")</f>
        <v>0</v>
      </c>
      <c r="C18" s="27">
        <f>SUMIFS(Expenses!L:L,Expenses!B:B,"FAC-002",Expenses!F:F,"Staffing")</f>
        <v>0</v>
      </c>
      <c r="D18" s="27">
        <f>SUMIFS(Expenses!L:L,Expenses!B:B,"FAC-003",Expenses!F:F,"Staffing")</f>
        <v>0</v>
      </c>
      <c r="E18" s="28">
        <f>SUM(B18:D18)</f>
        <v>0</v>
      </c>
    </row>
    <row r="19" spans="1:5" x14ac:dyDescent="0.35">
      <c r="A19" s="9" t="s">
        <v>167</v>
      </c>
      <c r="B19" s="25">
        <f>SUMIFS(Expenses!L:L,Expenses!B:B,"FAC-001",Expenses!F:F,"Utilities")</f>
        <v>0</v>
      </c>
      <c r="C19" s="25">
        <f>SUMIFS(Expenses!L:L,Expenses!B:B,"FAC-002",Expenses!F:F,"Utilities")</f>
        <v>0</v>
      </c>
      <c r="D19" s="25">
        <f>SUMIFS(Expenses!L:L,Expenses!B:B,"FAC-003",Expenses!F:F,"Utilities")</f>
        <v>0</v>
      </c>
      <c r="E19" s="26">
        <f>SUM(B19:D19)</f>
        <v>0</v>
      </c>
    </row>
    <row r="20" spans="1:5" x14ac:dyDescent="0.35">
      <c r="A20" s="7" t="s">
        <v>168</v>
      </c>
      <c r="B20" s="27">
        <f>SUMIFS(Expenses!L:L,Expenses!B:B,"FAC-001",Expenses!F:F,"Maintenance")</f>
        <v>0</v>
      </c>
      <c r="C20" s="27">
        <f>SUMIFS(Expenses!L:L,Expenses!B:B,"FAC-002",Expenses!F:F,"Maintenance")</f>
        <v>252</v>
      </c>
      <c r="D20" s="27">
        <f>SUMIFS(Expenses!L:L,Expenses!B:B,"FAC-003",Expenses!F:F,"Maintenance")</f>
        <v>0</v>
      </c>
      <c r="E20" s="28">
        <f>SUM(B20:D20)</f>
        <v>252</v>
      </c>
    </row>
  </sheetData>
  <mergeCells count="4">
    <mergeCell ref="A1:H1"/>
    <mergeCell ref="A3:E3"/>
    <mergeCell ref="A9:E9"/>
    <mergeCell ref="A15:E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Facilities</vt:lpstr>
      <vt:lpstr>Clients</vt:lpstr>
      <vt:lpstr>Support Plans</vt:lpstr>
      <vt:lpstr>DoLS</vt:lpstr>
      <vt:lpstr>Expenses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Andrews Kwakye</cp:lastModifiedBy>
  <cp:revision>0</cp:revision>
  <dcterms:created xsi:type="dcterms:W3CDTF">2026-04-12T02:08:55Z</dcterms:created>
  <dcterms:modified xsi:type="dcterms:W3CDTF">2026-05-03T02:49:26Z</dcterms:modified>
  <dc:language>en-US</dc:language>
</cp:coreProperties>
</file>